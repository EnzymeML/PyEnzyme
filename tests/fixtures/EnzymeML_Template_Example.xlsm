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codeName="DieseArbeitsmappe" defaultThemeVersion="166925"/>
  <mc:AlternateContent xmlns:mc="http://schemas.openxmlformats.org/markup-compatibility/2006">
    <mc:Choice Requires="x15">
      <x15ac:absPath xmlns:x15ac="http://schemas.microsoft.com/office/spreadsheetml/2010/11/ac" url="/Users/janrange/PyEnzyme5/tests/fixtures/"/>
    </mc:Choice>
  </mc:AlternateContent>
  <xr:revisionPtr revIDLastSave="0" documentId="13_ncr:1_{A5EEFD47-26CB-6F4B-B346-11E409C1B7F8}" xr6:coauthVersionLast="47" xr6:coauthVersionMax="47" xr10:uidLastSave="{00000000-0000-0000-0000-000000000000}"/>
  <bookViews>
    <workbookView xWindow="0" yWindow="500" windowWidth="28800" windowHeight="15820" activeTab="4"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 i="6" l="1"/>
  <c r="K16" i="6"/>
  <c r="L16" i="6"/>
  <c r="M16" i="6"/>
  <c r="N16" i="6"/>
  <c r="O16" i="6"/>
  <c r="P16" i="6"/>
  <c r="Q16" i="6"/>
  <c r="R16" i="6"/>
  <c r="S16" i="6"/>
  <c r="J11" i="6"/>
  <c r="K11" i="6"/>
  <c r="L11" i="6"/>
  <c r="M11" i="6"/>
  <c r="N11" i="6"/>
  <c r="O11" i="6"/>
  <c r="P11" i="6"/>
  <c r="Q11" i="6"/>
  <c r="R11" i="6"/>
  <c r="S11" i="6"/>
  <c r="J6" i="6"/>
  <c r="K6" i="6"/>
  <c r="L6" i="6"/>
  <c r="M6" i="6"/>
  <c r="N6" i="6"/>
  <c r="O6" i="6"/>
  <c r="P6" i="6"/>
  <c r="Q6" i="6"/>
  <c r="R6" i="6"/>
  <c r="S6" i="6"/>
  <c r="L10" i="7"/>
  <c r="K8" i="7" a="1"/>
  <c r="K8" i="7" s="1"/>
  <c r="L8" i="7" s="1"/>
  <c r="I8" i="7" a="1"/>
  <c r="I8" i="7" s="1"/>
  <c r="J8" i="7" s="1"/>
  <c r="J10" i="7" l="1"/>
  <c r="L25" i="7"/>
  <c r="L21" i="7"/>
  <c r="L17" i="7"/>
  <c r="L13" i="7"/>
  <c r="L9" i="7"/>
  <c r="L24" i="7"/>
  <c r="L20" i="7"/>
  <c r="L16" i="7"/>
  <c r="L12" i="7"/>
  <c r="L26" i="7"/>
  <c r="L22" i="7"/>
  <c r="L18" i="7"/>
  <c r="L14" i="7"/>
  <c r="L27" i="7"/>
  <c r="L23" i="7"/>
  <c r="L19" i="7"/>
  <c r="L15" i="7"/>
  <c r="L11" i="7"/>
  <c r="J25" i="7"/>
  <c r="J21" i="7"/>
  <c r="J17" i="7"/>
  <c r="J13" i="7"/>
  <c r="J24" i="7"/>
  <c r="J20" i="7"/>
  <c r="J16" i="7"/>
  <c r="J27" i="7"/>
  <c r="J23" i="7"/>
  <c r="J19" i="7"/>
  <c r="J15" i="7"/>
  <c r="J11" i="7"/>
  <c r="J26" i="7"/>
  <c r="J22" i="7"/>
  <c r="J18" i="7"/>
  <c r="J14" i="7"/>
  <c r="J9" i="7"/>
  <c r="J12"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<sst xmlns="http://schemas.openxmlformats.org/spreadsheetml/2006/main" count="396" uniqueCount="212">
  <si>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</si>
  <si>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</si>
  <si>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</si>
  <si>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</si>
  <si>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</si>
  <si>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</si>
  <si>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</si>
  <si>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</si>
  <si>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</si>
  <si>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</si>
  <si>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</si>
  <si>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</si>
  <si>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</si>
  <si>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</si>
  <si>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</si>
  <si>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</si>
  <si>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</si>
  <si>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</si>
  <si>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</si>
  <si>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</si>
  <si>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</si>
  <si>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</si>
  <si>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</si>
  <si>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</si>
  <si>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</si>
  <si>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</si>
  <si>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</si>
  <si>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</si>
  <si>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</si>
  <si>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</si>
  <si>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</si>
  <si>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</si>
  <si>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</si>
  <si>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</si>
  <si>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</si>
  <si>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</si>
  <si>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</si>
  <si>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</si>
  <si>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</si>
  <si>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</si>
  <si>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</si>
  <si>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</si>
  <si>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</si>
  <si>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</si>
  <si>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</si>
  <si>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</si>
  <si>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</si>
  <si>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</si>
  <si>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</si>
  <si>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</si>
  <si>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</si>
  <si>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</si>
  <si>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</si>
  <si>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</si>
  <si>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</si>
  <si>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</si>
  <si>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</si>
  <si>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</si>
  <si>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1.2.3.4.5</t>
  </si>
  <si>
    <t>pmid1234</t>
  </si>
  <si>
    <t>Range</t>
  </si>
  <si>
    <t>Jan</t>
  </si>
  <si>
    <t>jan.range@simtech.uni-stuttgart.de</t>
  </si>
  <si>
    <t>Eppendorf Tube</t>
  </si>
  <si>
    <t xml:space="preserve"> </t>
  </si>
  <si>
    <t>Pyruvate</t>
  </si>
  <si>
    <t>CC(=O)C(=O)[O-]</t>
  </si>
  <si>
    <t>InChI=1S/C3H4O3/c1-2(4)3(5)6/h1H3,(H,5,6)/p-1</t>
  </si>
  <si>
    <t>Acetaldehyde</t>
  </si>
  <si>
    <t>CC=O</t>
  </si>
  <si>
    <t>Pyruvate decarboxylase isozyme 1</t>
  </si>
  <si>
    <t>MSEITLGKYLFERLKQVNVNTVFGLPGDFNLSLLDKIYEVEGMRWAGNANELNAAYAADGYARIKGMSCIITTFGVGELSALNGIAGSYAEHVGVLHVVGVPSISAQAKQLLLHHTLGNGDFTVFHRMSANISETTAMITDIATAPAEIDRCIRTTYVTQRPVYLGLPANLVDLNVPAKLLQTPIDMSLKPNDAESEKEVIDTILALVKDAKNPVILADACCSRHDVKAETKKLIDLTQFPAFVTPMGKGSIDEQHPRYGGVYVGTLSKPEVKEAVESADLILSVGALLSDFNTGSFSYSYKTKNIVEFHSDHMKIRNATFPGVQMKFVLQKLLTTIADAAKGYKPVAVPARTPANAAVPASTPLKQEWMWNQLGNFLQEGDVVIAETGTSAFGINQTTFPNNTYGISQVLWGSIGFTTGATLGAAFAAEEIDPKKRVILFIGDGSLQLTVQEISTMIRWGLKPYLFVLNNDGYTIEKLIHGPKAQYNEIQGWDHLSLLPTFGAKDYETHRVATTGEWDKLTQDKSFNDNSKIRMIEIMLPVFDAPQNLVEQAKLTAATNAKQ</t>
  </si>
  <si>
    <t>Saccharomyces cerevisiae</t>
  </si>
  <si>
    <t>4.1.1.1</t>
  </si>
  <si>
    <t>Pyruvate decarboxilation</t>
  </si>
  <si>
    <t>Reaction</t>
  </si>
  <si>
    <t>Source organism</t>
  </si>
  <si>
    <t>Pyruvate, Acetaldehyde</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</si>
  <si>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</si>
  <si>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</si>
  <si>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</si>
  <si>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</si>
  <si>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</si>
  <si>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</si>
  <si>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</si>
  <si>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</si>
  <si>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</si>
  <si>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</si>
  <si>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</si>
  <si>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</si>
  <si>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</si>
  <si>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</si>
  <si>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</si>
  <si>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</si>
  <si>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</si>
  <si>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</si>
  <si>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</si>
  <si>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</si>
  <si>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</si>
  <si>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</si>
  <si>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</si>
  <si>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</si>
  <si>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</si>
  <si>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</si>
  <si>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</si>
  <si>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</si>
  <si>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</si>
  <si>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</si>
  <si>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</si>
  <si>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</si>
  <si>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</si>
  <si>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</si>
  <si>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</si>
  <si>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</si>
  <si>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</si>
  <si>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</si>
  <si>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</si>
  <si>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</si>
  <si>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</si>
  <si>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</si>
  <si>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</si>
  <si>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</si>
  <si>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</si>
  <si>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</si>
  <si>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</si>
  <si>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</si>
  <si>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</si>
  <si>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</si>
  <si>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</si>
  <si>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</si>
  <si>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</si>
  <si>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</si>
  <si>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</si>
  <si>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</si>
  <si>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</si>
  <si>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</si>
  <si>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</si>
  <si>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</si>
  <si>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</si>
  <si>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</si>
  <si>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</si>
  <si>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</si>
  <si>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</si>
  <si>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</si>
  <si>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</si>
  <si>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</si>
  <si>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</si>
  <si>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</si>
  <si>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</si>
  <si>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</si>
  <si>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</si>
  <si>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</si>
  <si>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http://www.someurl.com</t>
  </si>
  <si>
    <t xml:space="preserve">   Reactants (species)</t>
  </si>
  <si>
    <t>s1</t>
  </si>
  <si>
    <t>s2</t>
  </si>
  <si>
    <t>s3</t>
  </si>
  <si>
    <t>s4</t>
  </si>
  <si>
    <t>s5</t>
  </si>
  <si>
    <t>s6</t>
  </si>
  <si>
    <t>s7</t>
  </si>
  <si>
    <t>s8</t>
  </si>
  <si>
    <t>s9</t>
  </si>
  <si>
    <t>s10</t>
  </si>
  <si>
    <t>s11</t>
  </si>
  <si>
    <t>s12</t>
  </si>
  <si>
    <t>s13</t>
  </si>
  <si>
    <t>s14</t>
  </si>
  <si>
    <t>s15</t>
  </si>
  <si>
    <t>s16</t>
  </si>
  <si>
    <t>s17</t>
  </si>
  <si>
    <t>s18</t>
  </si>
  <si>
    <t>s19</t>
  </si>
  <si>
    <t>Pyruvate decarboxylation</t>
  </si>
  <si>
    <t>Experiment ID</t>
  </si>
  <si>
    <t>p1*kcat*s1 / (Km+s1)</t>
  </si>
  <si>
    <t>Institute of Biochemistry and Technical Biochemistry</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</si>
  <si>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</si>
  <si>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</si>
  <si>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</si>
  <si>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</si>
  <si>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</si>
  <si>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</si>
  <si>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</si>
  <si>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</si>
  <si>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</si>
  <si>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</si>
  <si>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</si>
  <si>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</si>
  <si>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</si>
  <si>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</si>
  <si>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</si>
  <si>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</si>
  <si>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</si>
  <si>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</si>
  <si>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</si>
  <si>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</si>
  <si>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</si>
  <si>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</si>
  <si>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</si>
  <si>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</si>
  <si>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</si>
  <si>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</si>
  <si>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</si>
  <si>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Pyruvate Decarboxylation</t>
  </si>
  <si>
    <t>CO2</t>
  </si>
  <si>
    <t>InChI=1S/CO2/c2-1-3</t>
  </si>
  <si>
    <t>Acetaldehyde, CO2</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</si>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</sst>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10" fillId="0" borderId="5" xfId="0" applyFon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0" fillId="0" borderId="0" xfId="0" applyAlignment="1">
      <alignment horizontal="right" vertical="top"/>
    </xf>
    <xf numFmtId="0" fontId="20" fillId="0" borderId="0" xfId="0" applyFont="1" applyAlignment="1">
      <alignment horizontal="left" vertical="center" wrapText="1"/>
    </xf>
    <xf numFmtId="0" fontId="5" fillId="2" borderId="0" xfId="0" applyFont="1" applyFill="1" applyAlignment="1">
      <alignment horizontal="center" vertical="center"/>
    </xf>
    <xf numFmtId="0" fontId="22" fillId="0" borderId="0" xfId="0" applyFont="1"/>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someurl.com/"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topLeftCell="A7" zoomScaleNormal="100" workbookViewId="0">
      <selection activeCell="A9" sqref="A9:D9"/>
    </sheetView>
  </sheetViews>
  <sheetFormatPr baseColWidth="10" defaultColWidth="35.6640625" defaultRowHeight="15" x14ac:dyDescent="0.2"/>
  <sheetData>
    <row r="1" spans="1:6" ht="99.75" customHeight="1" x14ac:dyDescent="0.2">
      <c r="A1" s="68" t="s">
        <v>193</v>
      </c>
      <c r="B1" s="2"/>
      <c r="C1" s="67"/>
      <c r="D1" s="1"/>
      <c r="E1" s="1"/>
      <c r="F1" s="1"/>
    </row>
    <row r="2" spans="1:6" ht="35.25" customHeight="1" x14ac:dyDescent="0.2">
      <c r="A2" s="73" t="s">
        <v>150</v>
      </c>
      <c r="B2" s="73"/>
      <c r="C2" s="73"/>
      <c r="D2" s="73"/>
      <c r="E2" s="1"/>
      <c r="F2" s="1"/>
    </row>
    <row r="3" spans="1:6" ht="25" customHeight="1" x14ac:dyDescent="0.2">
      <c r="A3" s="37" t="s">
        <v>0</v>
      </c>
      <c r="B3" s="75" t="s">
        <v>204</v>
      </c>
      <c r="C3" s="76"/>
      <c r="D3" s="77"/>
      <c r="E3" s="1"/>
      <c r="F3" s="1"/>
    </row>
    <row r="4" spans="1:6" ht="25" customHeight="1" x14ac:dyDescent="0.2">
      <c r="A4" s="37" t="s">
        <v>197</v>
      </c>
      <c r="B4" s="84">
        <v>44272</v>
      </c>
      <c r="C4" s="85"/>
      <c r="D4" s="86"/>
      <c r="E4" s="1"/>
      <c r="F4" s="1"/>
    </row>
    <row r="5" spans="1:6" ht="25" customHeight="1" x14ac:dyDescent="0.2">
      <c r="A5" s="34" t="s">
        <v>194</v>
      </c>
      <c r="B5" s="78" t="s">
        <v>58</v>
      </c>
      <c r="C5" s="79"/>
      <c r="D5" s="80"/>
      <c r="E5" s="1"/>
      <c r="F5" s="1"/>
    </row>
    <row r="6" spans="1:6" ht="25" customHeight="1" x14ac:dyDescent="0.2">
      <c r="A6" s="34" t="s">
        <v>195</v>
      </c>
      <c r="B6" s="78" t="s">
        <v>59</v>
      </c>
      <c r="C6" s="79"/>
      <c r="D6" s="80"/>
      <c r="E6" s="1"/>
      <c r="F6" s="1"/>
    </row>
    <row r="7" spans="1:6" ht="25" customHeight="1" x14ac:dyDescent="0.2">
      <c r="A7" s="34" t="s">
        <v>196</v>
      </c>
      <c r="B7" s="81" t="s">
        <v>152</v>
      </c>
      <c r="C7" s="82"/>
      <c r="D7" s="83"/>
      <c r="E7" s="1"/>
      <c r="F7" s="1"/>
    </row>
    <row r="8" spans="1:6" ht="25" customHeight="1" x14ac:dyDescent="0.2">
      <c r="A8" s="1"/>
      <c r="B8" s="1"/>
      <c r="C8" s="1"/>
      <c r="D8" s="1"/>
      <c r="E8" s="1"/>
      <c r="F8" s="1"/>
    </row>
    <row r="9" spans="1:6" ht="35.25" customHeight="1" x14ac:dyDescent="0.2">
      <c r="A9" s="74" t="s">
        <v>151</v>
      </c>
      <c r="B9" s="74"/>
      <c r="C9" s="74"/>
      <c r="D9" s="74"/>
      <c r="E9" s="1"/>
      <c r="F9" s="1"/>
    </row>
    <row r="10" spans="1:6" ht="35.25" customHeight="1" x14ac:dyDescent="0.2">
      <c r="A10" s="36" t="s">
        <v>1</v>
      </c>
      <c r="B10" s="37" t="s">
        <v>2</v>
      </c>
      <c r="C10" s="37" t="s">
        <v>3</v>
      </c>
      <c r="D10" s="37" t="s">
        <v>80</v>
      </c>
      <c r="E10" s="1"/>
      <c r="F10" s="1"/>
    </row>
    <row r="11" spans="1:6" ht="25" customHeight="1" x14ac:dyDescent="0.2">
      <c r="A11" s="35" t="s">
        <v>60</v>
      </c>
      <c r="B11" s="35" t="s">
        <v>61</v>
      </c>
      <c r="C11" s="38" t="s">
        <v>62</v>
      </c>
      <c r="D11" s="54" t="s">
        <v>176</v>
      </c>
      <c r="E11" s="1"/>
      <c r="F11" s="1"/>
    </row>
    <row r="12" spans="1:6" ht="25" customHeight="1" x14ac:dyDescent="0.2">
      <c r="A12" s="35"/>
      <c r="B12" s="35"/>
      <c r="C12" s="38"/>
      <c r="D12" s="54"/>
      <c r="E12" s="1"/>
      <c r="F12" s="1"/>
    </row>
    <row r="13" spans="1:6" ht="25" customHeight="1" x14ac:dyDescent="0.2">
      <c r="A13" s="39"/>
      <c r="B13" s="39"/>
      <c r="C13" s="39"/>
      <c r="D13" s="39"/>
      <c r="E13" s="1"/>
      <c r="F13" s="1"/>
    </row>
    <row r="14" spans="1:6" ht="25" customHeight="1" x14ac:dyDescent="0.2">
      <c r="A14" s="39"/>
      <c r="B14" s="39"/>
      <c r="C14" s="39"/>
      <c r="D14" s="39"/>
      <c r="E14" s="1"/>
      <c r="F14" s="1"/>
    </row>
    <row r="15" spans="1:6" ht="25" customHeight="1" x14ac:dyDescent="0.2">
      <c r="A15" s="39"/>
      <c r="B15" s="39"/>
      <c r="C15" s="39"/>
      <c r="D15" s="39"/>
      <c r="E15" s="1"/>
      <c r="F15" s="1"/>
    </row>
    <row r="16" spans="1:6" ht="25" customHeight="1" x14ac:dyDescent="0.2">
      <c r="A16" s="39"/>
      <c r="B16" s="39"/>
      <c r="C16" s="39"/>
      <c r="D16" s="39"/>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64</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xr:uid="{A76A7277-471E-4AEB-815F-AFAE09D17C4C}"/>
    <dataValidation allowBlank="1" showInputMessage="1" showErrorMessage="1" prompt="Digital Object Identifier to your experiment/dataset/publication" sqref="A5" xr:uid="{223E39A5-3E20-45D6-A7EE-FD7ED7D3723A}"/>
    <dataValidation allowBlank="1" showInputMessage="1" showErrorMessage="1" prompt="PubMed Identifier to your publication." sqref="A6" xr:uid="{E65CC204-6F8D-4FF1-B422-6A3CAF470C76}"/>
    <dataValidation allowBlank="1" showInputMessage="1" showErrorMessage="1" prompt="Miscellaneous link affiliated to your data." sqref="A7" xr:uid="{56D45615-3E38-4AAA-B523-177554429492}"/>
  </dataValidations>
  <hyperlinks>
    <hyperlink ref="C11" r:id="rId1" xr:uid="{72614C10-D813-4CCA-877B-EDA998643293}"/>
    <hyperlink ref="B7" r:id="rId2" xr:uid="{562791A3-E4F0-4458-BECA-C57200C2B97E}"/>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6" sqref="D6"/>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87" t="s">
        <v>149</v>
      </c>
      <c r="B2" s="87"/>
      <c r="C2" s="4"/>
      <c r="D2" s="4"/>
      <c r="E2" s="4"/>
      <c r="F2" s="4"/>
    </row>
    <row r="3" spans="1:6" ht="35.25" customHeight="1" x14ac:dyDescent="0.2">
      <c r="A3" s="11" t="s">
        <v>88</v>
      </c>
      <c r="B3" s="11" t="s">
        <v>5</v>
      </c>
      <c r="C3" s="11" t="s">
        <v>31</v>
      </c>
      <c r="D3" s="11" t="s">
        <v>32</v>
      </c>
      <c r="E3" s="15"/>
      <c r="F3" s="15"/>
    </row>
    <row r="4" spans="1:6" ht="25" customHeight="1" x14ac:dyDescent="0.2">
      <c r="A4" s="43" t="s">
        <v>188</v>
      </c>
      <c r="B4" s="40" t="s">
        <v>63</v>
      </c>
      <c r="C4" s="40">
        <v>1000</v>
      </c>
      <c r="D4" s="40" t="s">
        <v>28</v>
      </c>
      <c r="E4" s="12"/>
      <c r="F4" s="12"/>
    </row>
    <row r="5" spans="1:6" ht="25" customHeight="1" x14ac:dyDescent="0.2">
      <c r="A5" s="43" t="s">
        <v>125</v>
      </c>
      <c r="B5" s="41"/>
      <c r="C5" s="41"/>
      <c r="D5" s="41"/>
      <c r="E5" s="12"/>
      <c r="F5" s="12"/>
    </row>
    <row r="6" spans="1:6" ht="25" customHeight="1" x14ac:dyDescent="0.2">
      <c r="A6" s="43" t="s">
        <v>126</v>
      </c>
      <c r="B6" s="41"/>
      <c r="C6" s="41"/>
      <c r="D6" s="41"/>
      <c r="E6" s="12"/>
      <c r="F6" s="12"/>
    </row>
    <row r="7" spans="1:6" ht="25" customHeight="1" x14ac:dyDescent="0.2">
      <c r="A7" s="43" t="s">
        <v>127</v>
      </c>
      <c r="B7" s="41" t="s">
        <v>64</v>
      </c>
      <c r="C7" s="41"/>
      <c r="D7" s="41"/>
      <c r="E7" s="5"/>
      <c r="F7" s="5"/>
    </row>
    <row r="8" spans="1:6" ht="25" customHeight="1" x14ac:dyDescent="0.2">
      <c r="A8" s="43" t="s">
        <v>128</v>
      </c>
      <c r="B8" s="41" t="s">
        <v>64</v>
      </c>
      <c r="C8" s="41"/>
      <c r="D8" s="41"/>
      <c r="E8" s="5"/>
      <c r="F8" s="5"/>
    </row>
    <row r="9" spans="1:6" ht="25" customHeight="1" x14ac:dyDescent="0.2">
      <c r="A9" s="43" t="s">
        <v>129</v>
      </c>
      <c r="B9" s="41" t="s">
        <v>64</v>
      </c>
      <c r="C9" s="41"/>
      <c r="D9" s="41"/>
      <c r="E9" s="5"/>
      <c r="F9" s="5"/>
    </row>
    <row r="10" spans="1:6" ht="25" customHeight="1" x14ac:dyDescent="0.2">
      <c r="A10" s="43" t="s">
        <v>130</v>
      </c>
      <c r="B10" s="41" t="s">
        <v>64</v>
      </c>
      <c r="C10" s="41"/>
      <c r="D10" s="41"/>
      <c r="E10" s="5"/>
      <c r="F10" s="5"/>
    </row>
    <row r="11" spans="1:6" ht="25" customHeight="1" x14ac:dyDescent="0.2">
      <c r="A11" s="43" t="s">
        <v>131</v>
      </c>
      <c r="B11" s="41" t="s">
        <v>64</v>
      </c>
      <c r="C11" s="41"/>
      <c r="D11" s="41"/>
      <c r="E11" s="5"/>
      <c r="F11" s="5"/>
    </row>
    <row r="12" spans="1:6" ht="25" customHeight="1" x14ac:dyDescent="0.2">
      <c r="A12" s="43" t="s">
        <v>132</v>
      </c>
      <c r="B12" s="41" t="s">
        <v>64</v>
      </c>
      <c r="C12" s="41"/>
      <c r="D12" s="41"/>
      <c r="E12" s="5"/>
      <c r="F12" s="5"/>
    </row>
    <row r="13" spans="1:6" ht="25" customHeight="1" x14ac:dyDescent="0.2">
      <c r="A13" s="43" t="s">
        <v>133</v>
      </c>
      <c r="B13" s="41" t="s">
        <v>64</v>
      </c>
      <c r="C13" s="41"/>
      <c r="D13" s="41"/>
      <c r="E13" s="5"/>
      <c r="F13" s="5"/>
    </row>
    <row r="14" spans="1:6" ht="25" customHeight="1" x14ac:dyDescent="0.2">
      <c r="A14" s="43" t="s">
        <v>134</v>
      </c>
      <c r="B14" s="41" t="s">
        <v>64</v>
      </c>
      <c r="C14" s="41"/>
      <c r="D14" s="41"/>
      <c r="E14" s="5"/>
      <c r="F14" s="5"/>
    </row>
    <row r="15" spans="1:6" ht="25" customHeight="1" x14ac:dyDescent="0.2">
      <c r="A15" s="43" t="s">
        <v>135</v>
      </c>
      <c r="B15" s="41" t="s">
        <v>64</v>
      </c>
      <c r="C15" s="41"/>
      <c r="D15" s="41"/>
      <c r="E15" s="5"/>
      <c r="F15" s="5"/>
    </row>
    <row r="16" spans="1:6" ht="25" customHeight="1" x14ac:dyDescent="0.2">
      <c r="A16" s="43" t="s">
        <v>136</v>
      </c>
      <c r="B16" s="41" t="s">
        <v>64</v>
      </c>
      <c r="C16" s="41"/>
      <c r="D16" s="41"/>
      <c r="E16" s="5"/>
      <c r="F16" s="5"/>
    </row>
    <row r="17" spans="1:6" ht="25" customHeight="1" x14ac:dyDescent="0.2">
      <c r="A17" s="43" t="s">
        <v>137</v>
      </c>
      <c r="B17" s="41" t="s">
        <v>64</v>
      </c>
      <c r="C17" s="41"/>
      <c r="D17" s="41"/>
      <c r="E17" s="5"/>
      <c r="F17" s="5"/>
    </row>
    <row r="18" spans="1:6" ht="25" customHeight="1" x14ac:dyDescent="0.2">
      <c r="A18" s="43" t="s">
        <v>138</v>
      </c>
      <c r="B18" s="41" t="s">
        <v>64</v>
      </c>
      <c r="C18" s="41"/>
      <c r="D18" s="41"/>
      <c r="E18" s="5"/>
      <c r="F18" s="5"/>
    </row>
    <row r="19" spans="1:6" ht="25" customHeight="1" x14ac:dyDescent="0.2">
      <c r="A19" s="43" t="s">
        <v>139</v>
      </c>
      <c r="B19" s="41" t="s">
        <v>64</v>
      </c>
      <c r="C19" s="41"/>
      <c r="D19" s="41"/>
      <c r="E19" s="5"/>
      <c r="F19" s="5"/>
    </row>
    <row r="20" spans="1:6" ht="25" customHeight="1" x14ac:dyDescent="0.2">
      <c r="A20" s="43" t="s">
        <v>140</v>
      </c>
      <c r="B20" s="41" t="s">
        <v>64</v>
      </c>
      <c r="C20" s="41"/>
      <c r="D20" s="41"/>
      <c r="E20" s="5"/>
      <c r="F20" s="5"/>
    </row>
    <row r="21" spans="1:6" ht="25" customHeight="1" x14ac:dyDescent="0.2">
      <c r="A21" s="43" t="s">
        <v>141</v>
      </c>
      <c r="B21" s="41" t="s">
        <v>64</v>
      </c>
      <c r="C21" s="41"/>
      <c r="D21" s="41"/>
      <c r="E21" s="5"/>
      <c r="F21" s="5"/>
    </row>
    <row r="22" spans="1:6" ht="25" customHeight="1" x14ac:dyDescent="0.2">
      <c r="A22" s="43" t="s">
        <v>142</v>
      </c>
      <c r="B22" s="41" t="s">
        <v>64</v>
      </c>
      <c r="C22" s="41"/>
      <c r="D22" s="41"/>
      <c r="E22" s="5"/>
      <c r="F22" s="5"/>
    </row>
    <row r="23" spans="1:6" ht="25" customHeight="1" x14ac:dyDescent="0.2">
      <c r="A23" s="43" t="s">
        <v>143</v>
      </c>
      <c r="B23" s="41" t="s">
        <v>64</v>
      </c>
      <c r="C23" s="41"/>
      <c r="D23" s="41"/>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A809EB7-403C-414B-8251-DFAB1AA20F34}">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D3" sqref="D3"/>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87" t="s">
        <v>153</v>
      </c>
      <c r="B2" s="87"/>
    </row>
    <row r="3" spans="1:13" ht="35.25" customHeight="1" x14ac:dyDescent="0.2">
      <c r="A3" s="6" t="s">
        <v>88</v>
      </c>
      <c r="B3" s="6" t="s">
        <v>5</v>
      </c>
      <c r="C3" s="6" t="s">
        <v>6</v>
      </c>
      <c r="D3" s="6" t="s">
        <v>8</v>
      </c>
      <c r="E3" s="7" t="s">
        <v>9</v>
      </c>
      <c r="F3" s="7" t="s">
        <v>10</v>
      </c>
    </row>
    <row r="4" spans="1:13" ht="25" customHeight="1" x14ac:dyDescent="0.2">
      <c r="A4" s="42" t="s">
        <v>187</v>
      </c>
      <c r="B4" s="43" t="s">
        <v>65</v>
      </c>
      <c r="C4" s="43" t="s">
        <v>63</v>
      </c>
      <c r="D4" s="43" t="s">
        <v>30</v>
      </c>
      <c r="E4" s="44" t="s">
        <v>66</v>
      </c>
      <c r="F4" s="44" t="s">
        <v>67</v>
      </c>
      <c r="G4" s="4" t="s">
        <v>64</v>
      </c>
    </row>
    <row r="5" spans="1:13" ht="25" customHeight="1" x14ac:dyDescent="0.2">
      <c r="A5" s="42" t="s">
        <v>154</v>
      </c>
      <c r="B5" s="33" t="s">
        <v>68</v>
      </c>
      <c r="C5" s="33" t="s">
        <v>63</v>
      </c>
      <c r="D5" s="33" t="s">
        <v>30</v>
      </c>
      <c r="E5" s="45" t="s">
        <v>69</v>
      </c>
      <c r="F5" s="45"/>
      <c r="G5" s="4" t="s">
        <v>64</v>
      </c>
      <c r="H5" s="5"/>
      <c r="I5" s="5"/>
      <c r="J5" s="5"/>
      <c r="K5" s="5"/>
      <c r="L5" s="5" t="s">
        <v>64</v>
      </c>
      <c r="M5" s="4" t="s">
        <v>64</v>
      </c>
    </row>
    <row r="6" spans="1:13" ht="25" customHeight="1" x14ac:dyDescent="0.2">
      <c r="A6" s="42" t="s">
        <v>155</v>
      </c>
      <c r="B6" s="33" t="s">
        <v>205</v>
      </c>
      <c r="C6" s="33" t="s">
        <v>63</v>
      </c>
      <c r="D6" s="33" t="s">
        <v>30</v>
      </c>
      <c r="E6" s="33" t="s">
        <v>64</v>
      </c>
      <c r="F6" s="33" t="s">
        <v>206</v>
      </c>
      <c r="G6" s="4" t="s">
        <v>64</v>
      </c>
    </row>
    <row r="7" spans="1:13" ht="25" customHeight="1" x14ac:dyDescent="0.2">
      <c r="A7" s="42" t="s">
        <v>156</v>
      </c>
      <c r="B7" s="33"/>
      <c r="D7" s="33"/>
      <c r="E7" s="33"/>
      <c r="F7" s="33"/>
      <c r="G7" s="4" t="s">
        <v>64</v>
      </c>
    </row>
    <row r="8" spans="1:13" ht="25" customHeight="1" x14ac:dyDescent="0.2">
      <c r="A8" s="42" t="s">
        <v>157</v>
      </c>
      <c r="B8" s="33"/>
      <c r="C8" s="33"/>
      <c r="D8" s="33"/>
      <c r="E8" s="33"/>
      <c r="F8" s="33"/>
      <c r="G8" s="4" t="s">
        <v>64</v>
      </c>
    </row>
    <row r="9" spans="1:13" ht="25" customHeight="1" x14ac:dyDescent="0.2">
      <c r="A9" s="42" t="s">
        <v>158</v>
      </c>
      <c r="B9" s="33"/>
      <c r="C9" s="33"/>
      <c r="D9" s="33"/>
      <c r="E9" s="33"/>
      <c r="F9" s="33"/>
      <c r="G9" s="4" t="s">
        <v>64</v>
      </c>
    </row>
    <row r="10" spans="1:13" ht="25" customHeight="1" x14ac:dyDescent="0.2">
      <c r="A10" s="42" t="s">
        <v>159</v>
      </c>
      <c r="B10" s="33"/>
      <c r="C10" s="33"/>
      <c r="D10" s="33"/>
      <c r="E10" s="33"/>
      <c r="F10" s="33"/>
      <c r="G10" s="4" t="s">
        <v>64</v>
      </c>
    </row>
    <row r="11" spans="1:13" ht="25" customHeight="1" x14ac:dyDescent="0.2">
      <c r="A11" s="42" t="s">
        <v>160</v>
      </c>
      <c r="B11" s="33"/>
      <c r="C11" s="33"/>
      <c r="D11" s="33"/>
      <c r="E11" s="33"/>
      <c r="F11" s="33"/>
      <c r="G11" s="4" t="s">
        <v>64</v>
      </c>
    </row>
    <row r="12" spans="1:13" ht="25" customHeight="1" x14ac:dyDescent="0.2">
      <c r="A12" s="42" t="s">
        <v>161</v>
      </c>
      <c r="B12" s="33"/>
      <c r="C12" s="33"/>
      <c r="D12" s="33"/>
      <c r="E12" s="33"/>
      <c r="F12" s="33"/>
      <c r="G12" s="4" t="s">
        <v>64</v>
      </c>
    </row>
    <row r="13" spans="1:13" ht="25" customHeight="1" x14ac:dyDescent="0.2">
      <c r="A13" s="42" t="s">
        <v>162</v>
      </c>
      <c r="B13" s="33"/>
      <c r="C13" s="33"/>
      <c r="D13" s="33"/>
      <c r="E13" s="33"/>
      <c r="F13" s="33"/>
      <c r="G13" s="4" t="s">
        <v>64</v>
      </c>
    </row>
    <row r="14" spans="1:13" ht="25" customHeight="1" x14ac:dyDescent="0.2">
      <c r="A14" s="42" t="s">
        <v>163</v>
      </c>
      <c r="B14" s="33"/>
      <c r="C14" s="33"/>
      <c r="D14" s="33"/>
      <c r="E14" s="33"/>
      <c r="F14" s="33"/>
      <c r="G14" s="4" t="s">
        <v>64</v>
      </c>
    </row>
    <row r="15" spans="1:13" ht="25" customHeight="1" x14ac:dyDescent="0.2">
      <c r="A15" s="42" t="s">
        <v>164</v>
      </c>
      <c r="B15" s="33"/>
      <c r="C15" s="33"/>
      <c r="D15" s="33"/>
      <c r="E15" s="33"/>
      <c r="F15" s="33"/>
      <c r="G15" s="4" t="s">
        <v>64</v>
      </c>
    </row>
    <row r="16" spans="1:13" ht="25" customHeight="1" x14ac:dyDescent="0.2">
      <c r="A16" s="42" t="s">
        <v>165</v>
      </c>
      <c r="B16" s="33"/>
      <c r="C16" s="33"/>
      <c r="D16" s="33"/>
      <c r="E16" s="33"/>
      <c r="F16" s="33"/>
      <c r="G16" s="4" t="s">
        <v>64</v>
      </c>
    </row>
    <row r="17" spans="1:7" ht="25" customHeight="1" x14ac:dyDescent="0.2">
      <c r="A17" s="42" t="s">
        <v>166</v>
      </c>
      <c r="B17" s="33"/>
      <c r="C17" s="33"/>
      <c r="D17" s="33"/>
      <c r="E17" s="33"/>
      <c r="F17" s="33"/>
      <c r="G17" s="4" t="s">
        <v>64</v>
      </c>
    </row>
    <row r="18" spans="1:7" ht="25" customHeight="1" x14ac:dyDescent="0.2">
      <c r="A18" s="42" t="s">
        <v>167</v>
      </c>
      <c r="B18" s="33"/>
      <c r="C18" s="33"/>
      <c r="D18" s="33"/>
      <c r="E18" s="33"/>
      <c r="F18" s="33"/>
      <c r="G18" s="4" t="s">
        <v>64</v>
      </c>
    </row>
    <row r="19" spans="1:7" ht="25" customHeight="1" x14ac:dyDescent="0.2">
      <c r="A19" s="42" t="s">
        <v>168</v>
      </c>
      <c r="B19" s="33"/>
      <c r="C19" s="33"/>
      <c r="D19" s="33"/>
      <c r="E19" s="33"/>
      <c r="F19" s="33"/>
      <c r="G19" s="4" t="s">
        <v>64</v>
      </c>
    </row>
    <row r="20" spans="1:7" ht="25" customHeight="1" x14ac:dyDescent="0.2">
      <c r="A20" s="42" t="s">
        <v>169</v>
      </c>
      <c r="B20" s="33"/>
      <c r="C20" s="33"/>
      <c r="D20" s="33"/>
      <c r="E20" s="33"/>
      <c r="F20" s="33"/>
      <c r="G20" s="4" t="s">
        <v>64</v>
      </c>
    </row>
    <row r="21" spans="1:7" ht="25" customHeight="1" x14ac:dyDescent="0.2">
      <c r="A21" s="42" t="s">
        <v>170</v>
      </c>
      <c r="B21" s="33"/>
      <c r="C21" s="33"/>
      <c r="D21" s="33"/>
      <c r="E21" s="33"/>
      <c r="F21" s="33"/>
      <c r="G21" s="4" t="s">
        <v>64</v>
      </c>
    </row>
    <row r="22" spans="1:7" ht="25" customHeight="1" x14ac:dyDescent="0.2">
      <c r="A22" s="42" t="s">
        <v>171</v>
      </c>
      <c r="B22" s="33"/>
      <c r="C22" s="33"/>
      <c r="D22" s="33"/>
      <c r="E22" s="33"/>
      <c r="F22" s="33"/>
      <c r="G22" s="4" t="s">
        <v>64</v>
      </c>
    </row>
    <row r="23" spans="1:7" ht="25" customHeight="1" x14ac:dyDescent="0.2">
      <c r="A23" s="42" t="s">
        <v>172</v>
      </c>
      <c r="B23" s="33"/>
      <c r="C23" s="33"/>
      <c r="D23" s="33"/>
      <c r="E23" s="33"/>
      <c r="F23" s="33"/>
      <c r="G23" s="4" t="s">
        <v>64</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4384D7A-7ABB-4592-854E-FBFEA45A71C4}">
          <x14:formula1>
            <xm:f>Documentation!$J$4:$J$5</xm:f>
          </x14:formula1>
          <xm:sqref>J5 D4:D5 D7:D23</xm:sqref>
        </x14:dataValidation>
        <x14:dataValidation type="list" allowBlank="1" showInputMessage="1" showErrorMessage="1" xr:uid="{0510C7DD-B729-4FB1-B2A1-455C4414D216}">
          <x14:formula1>
            <xm:f>Vessels!$B$4:$B$23</xm:f>
          </x14:formula1>
          <xm:sqref>C4:C6 C8:C23</xm:sqref>
        </x14:dataValidation>
        <x14:dataValidation type="list" allowBlank="1" showInputMessage="1" showErrorMessage="1" xr:uid="{77986215-17E2-48B7-9810-3233D10DCFFE}">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8"/>
      <c r="D1" s="48"/>
      <c r="E1" s="48"/>
    </row>
    <row r="2" spans="1:9" ht="35.25" customHeight="1" x14ac:dyDescent="0.2">
      <c r="A2" s="87" t="s">
        <v>148</v>
      </c>
      <c r="B2" s="87"/>
      <c r="C2" s="1"/>
      <c r="D2" s="1"/>
      <c r="E2" s="1"/>
    </row>
    <row r="3" spans="1:9" ht="35.25" customHeight="1" x14ac:dyDescent="0.2">
      <c r="A3" s="6" t="s">
        <v>88</v>
      </c>
      <c r="B3" s="6" t="s">
        <v>5</v>
      </c>
      <c r="C3" s="6" t="s">
        <v>34</v>
      </c>
      <c r="D3" s="6" t="s">
        <v>6</v>
      </c>
      <c r="E3" s="6" t="s">
        <v>8</v>
      </c>
      <c r="F3" s="7" t="s">
        <v>76</v>
      </c>
      <c r="G3" s="7" t="s">
        <v>35</v>
      </c>
      <c r="H3" s="7" t="s">
        <v>36</v>
      </c>
    </row>
    <row r="4" spans="1:9" ht="25" customHeight="1" x14ac:dyDescent="0.2">
      <c r="A4" s="43" t="s">
        <v>186</v>
      </c>
      <c r="B4" s="46" t="s">
        <v>70</v>
      </c>
      <c r="C4" s="43" t="s">
        <v>71</v>
      </c>
      <c r="D4" s="43" t="s">
        <v>63</v>
      </c>
      <c r="E4" s="43" t="s">
        <v>8</v>
      </c>
      <c r="F4" s="43" t="s">
        <v>72</v>
      </c>
      <c r="G4" s="46" t="s">
        <v>73</v>
      </c>
      <c r="H4" s="43"/>
      <c r="I4" s="2" t="s">
        <v>64</v>
      </c>
    </row>
    <row r="5" spans="1:9" ht="25" customHeight="1" x14ac:dyDescent="0.2">
      <c r="A5" s="43" t="s">
        <v>87</v>
      </c>
      <c r="B5" s="33"/>
      <c r="C5" s="33"/>
      <c r="D5" s="33"/>
      <c r="E5" s="33"/>
      <c r="F5" s="33"/>
      <c r="G5" s="33"/>
      <c r="H5" s="33"/>
      <c r="I5" s="2" t="s">
        <v>64</v>
      </c>
    </row>
    <row r="6" spans="1:9" ht="25" customHeight="1" x14ac:dyDescent="0.2">
      <c r="A6" s="43" t="s">
        <v>107</v>
      </c>
      <c r="B6" s="33"/>
      <c r="C6" s="33"/>
      <c r="D6" s="33"/>
      <c r="E6" s="33"/>
      <c r="F6" s="33"/>
      <c r="G6" s="33"/>
      <c r="H6" s="33"/>
      <c r="I6" s="2" t="s">
        <v>64</v>
      </c>
    </row>
    <row r="7" spans="1:9" ht="25" customHeight="1" x14ac:dyDescent="0.2">
      <c r="A7" s="43" t="s">
        <v>108</v>
      </c>
      <c r="B7" s="33"/>
      <c r="C7" s="33"/>
      <c r="D7" s="33"/>
      <c r="E7" s="33"/>
      <c r="F7" s="33"/>
      <c r="G7" s="33"/>
      <c r="H7" s="33"/>
      <c r="I7" s="2" t="s">
        <v>64</v>
      </c>
    </row>
    <row r="8" spans="1:9" ht="25" customHeight="1" x14ac:dyDescent="0.2">
      <c r="A8" s="43" t="s">
        <v>109</v>
      </c>
      <c r="B8" s="33"/>
      <c r="C8" s="33"/>
      <c r="D8" s="33"/>
      <c r="E8" s="33"/>
      <c r="F8" s="33"/>
      <c r="G8" s="33"/>
      <c r="H8" s="33"/>
      <c r="I8" s="2" t="s">
        <v>64</v>
      </c>
    </row>
    <row r="9" spans="1:9" ht="25" customHeight="1" x14ac:dyDescent="0.2">
      <c r="A9" s="43" t="s">
        <v>110</v>
      </c>
      <c r="B9" s="33"/>
      <c r="C9" s="33"/>
      <c r="D9" s="33"/>
      <c r="E9" s="33"/>
      <c r="F9" s="33"/>
      <c r="G9" s="33"/>
      <c r="H9" s="33"/>
      <c r="I9" s="2" t="s">
        <v>64</v>
      </c>
    </row>
    <row r="10" spans="1:9" ht="25" customHeight="1" x14ac:dyDescent="0.2">
      <c r="A10" s="43" t="s">
        <v>111</v>
      </c>
      <c r="B10" s="33"/>
      <c r="C10" s="33"/>
      <c r="D10" s="33"/>
      <c r="E10" s="33"/>
      <c r="F10" s="33"/>
      <c r="G10" s="33"/>
      <c r="H10" s="33"/>
      <c r="I10" s="2" t="s">
        <v>64</v>
      </c>
    </row>
    <row r="11" spans="1:9" ht="25" customHeight="1" x14ac:dyDescent="0.2">
      <c r="A11" s="43" t="s">
        <v>112</v>
      </c>
      <c r="B11" s="33"/>
      <c r="C11" s="33"/>
      <c r="D11" s="33"/>
      <c r="E11" s="33"/>
      <c r="F11" s="33"/>
      <c r="G11" s="33"/>
      <c r="H11" s="33"/>
      <c r="I11" s="2" t="s">
        <v>64</v>
      </c>
    </row>
    <row r="12" spans="1:9" ht="25" customHeight="1" x14ac:dyDescent="0.2">
      <c r="A12" s="43" t="s">
        <v>113</v>
      </c>
      <c r="B12" s="33"/>
      <c r="C12" s="33"/>
      <c r="D12" s="33"/>
      <c r="E12" s="33"/>
      <c r="F12" s="33"/>
      <c r="G12" s="33"/>
      <c r="H12" s="33"/>
      <c r="I12" s="2" t="s">
        <v>64</v>
      </c>
    </row>
    <row r="13" spans="1:9" ht="25" customHeight="1" x14ac:dyDescent="0.2">
      <c r="A13" s="43" t="s">
        <v>114</v>
      </c>
      <c r="B13" s="33"/>
      <c r="C13" s="33"/>
      <c r="D13" s="33"/>
      <c r="E13" s="33"/>
      <c r="F13" s="33"/>
      <c r="G13" s="33"/>
      <c r="H13" s="33"/>
      <c r="I13" s="2" t="s">
        <v>64</v>
      </c>
    </row>
    <row r="14" spans="1:9" ht="25" customHeight="1" x14ac:dyDescent="0.2">
      <c r="A14" s="43" t="s">
        <v>115</v>
      </c>
      <c r="B14" s="33"/>
      <c r="C14" s="33"/>
      <c r="D14" s="33"/>
      <c r="E14" s="33"/>
      <c r="F14" s="33"/>
      <c r="G14" s="33"/>
      <c r="H14" s="33"/>
      <c r="I14" s="2" t="s">
        <v>64</v>
      </c>
    </row>
    <row r="15" spans="1:9" ht="25" customHeight="1" x14ac:dyDescent="0.2">
      <c r="A15" s="43" t="s">
        <v>116</v>
      </c>
      <c r="B15" s="33"/>
      <c r="C15" s="33"/>
      <c r="D15" s="33"/>
      <c r="E15" s="33"/>
      <c r="F15" s="33"/>
      <c r="G15" s="33"/>
      <c r="H15" s="33"/>
      <c r="I15" s="2" t="s">
        <v>64</v>
      </c>
    </row>
    <row r="16" spans="1:9" ht="25" customHeight="1" x14ac:dyDescent="0.2">
      <c r="A16" s="43" t="s">
        <v>117</v>
      </c>
      <c r="B16" s="33"/>
      <c r="C16" s="33"/>
      <c r="D16" s="33"/>
      <c r="E16" s="33"/>
      <c r="F16" s="33"/>
      <c r="G16" s="33"/>
      <c r="H16" s="33"/>
      <c r="I16" s="2" t="s">
        <v>64</v>
      </c>
    </row>
    <row r="17" spans="1:9" ht="25" customHeight="1" x14ac:dyDescent="0.2">
      <c r="A17" s="43" t="s">
        <v>118</v>
      </c>
      <c r="B17" s="33"/>
      <c r="C17" s="33"/>
      <c r="D17" s="33"/>
      <c r="E17" s="33"/>
      <c r="F17" s="33"/>
      <c r="G17" s="33"/>
      <c r="H17" s="33"/>
      <c r="I17" s="2" t="s">
        <v>64</v>
      </c>
    </row>
    <row r="18" spans="1:9" ht="25" customHeight="1" x14ac:dyDescent="0.2">
      <c r="A18" s="43" t="s">
        <v>119</v>
      </c>
      <c r="B18" s="33"/>
      <c r="C18" s="33"/>
      <c r="D18" s="33"/>
      <c r="E18" s="33"/>
      <c r="F18" s="33"/>
      <c r="G18" s="33"/>
      <c r="H18" s="33"/>
      <c r="I18" s="2" t="s">
        <v>64</v>
      </c>
    </row>
    <row r="19" spans="1:9" ht="25" customHeight="1" x14ac:dyDescent="0.2">
      <c r="A19" s="43" t="s">
        <v>120</v>
      </c>
      <c r="B19" s="33"/>
      <c r="C19" s="33"/>
      <c r="D19" s="33"/>
      <c r="E19" s="33"/>
      <c r="F19" s="33"/>
      <c r="G19" s="33"/>
      <c r="H19" s="33"/>
      <c r="I19" s="2" t="s">
        <v>64</v>
      </c>
    </row>
    <row r="20" spans="1:9" ht="25" customHeight="1" x14ac:dyDescent="0.2">
      <c r="A20" s="43" t="s">
        <v>121</v>
      </c>
      <c r="B20" s="33"/>
      <c r="C20" s="33"/>
      <c r="D20" s="33"/>
      <c r="E20" s="33"/>
      <c r="F20" s="33"/>
      <c r="G20" s="33"/>
      <c r="H20" s="33"/>
      <c r="I20" s="2" t="s">
        <v>64</v>
      </c>
    </row>
    <row r="21" spans="1:9" ht="25" customHeight="1" x14ac:dyDescent="0.2">
      <c r="A21" s="43" t="s">
        <v>122</v>
      </c>
      <c r="B21" s="33"/>
      <c r="C21" s="33"/>
      <c r="D21" s="33"/>
      <c r="E21" s="33"/>
      <c r="F21" s="33"/>
      <c r="G21" s="33"/>
      <c r="H21" s="33"/>
      <c r="I21" s="2" t="s">
        <v>64</v>
      </c>
    </row>
    <row r="22" spans="1:9" ht="25" customHeight="1" x14ac:dyDescent="0.2">
      <c r="A22" s="43" t="s">
        <v>123</v>
      </c>
      <c r="B22" s="33"/>
      <c r="C22" s="33"/>
      <c r="D22" s="33"/>
      <c r="E22" s="33"/>
      <c r="F22" s="33"/>
      <c r="G22" s="33"/>
      <c r="H22" s="33"/>
      <c r="I22" s="2" t="s">
        <v>64</v>
      </c>
    </row>
    <row r="23" spans="1:9" ht="25" customHeight="1" x14ac:dyDescent="0.2">
      <c r="A23" s="43" t="s">
        <v>124</v>
      </c>
      <c r="B23" s="33"/>
      <c r="C23" s="33"/>
      <c r="D23" s="33"/>
      <c r="E23" s="33"/>
      <c r="F23" s="33"/>
      <c r="G23" s="33"/>
      <c r="H23" s="33"/>
      <c r="I23" s="2" t="s">
        <v>64</v>
      </c>
    </row>
    <row r="24" spans="1:9" ht="25" customHeight="1" x14ac:dyDescent="0.2"/>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protein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0CDC042A-20BA-471C-B9A2-744601A738C9}">
          <x14:formula1>
            <xm:f>Vessels!$B$4:$B$23</xm:f>
          </x14:formula1>
          <xm:sqref>D4:D23</xm:sqref>
        </x14:dataValidation>
        <x14:dataValidation type="list" allowBlank="1" showInputMessage="1" showErrorMessage="1" xr:uid="{5EE3D4DF-85E4-4C1D-9653-9A8D5AB91B8C}">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tabSelected="1" topLeftCell="B1" zoomScaleNormal="100" workbookViewId="0">
      <selection activeCell="F8" sqref="F8"/>
    </sheetView>
  </sheetViews>
  <sheetFormatPr baseColWidth="10" defaultColWidth="25.6640625" defaultRowHeight="20.25" customHeight="1" x14ac:dyDescent="0.2"/>
  <cols>
    <col min="1" max="5" width="25.6640625" style="2"/>
    <col min="6" max="6" width="25.6640625" style="48"/>
    <col min="7" max="8" width="25.6640625" style="2"/>
    <col min="9" max="9" width="33" style="2" customWidth="1"/>
    <col min="10" max="16384" width="25.6640625" style="2"/>
  </cols>
  <sheetData>
    <row r="1" spans="1:10" ht="60" customHeight="1" x14ac:dyDescent="0.2">
      <c r="A1"/>
      <c r="B1" s="14"/>
      <c r="C1" s="14"/>
    </row>
    <row r="2" spans="1:10" ht="35.25" customHeight="1" x14ac:dyDescent="0.2">
      <c r="A2" s="87" t="s">
        <v>146</v>
      </c>
      <c r="B2" s="87"/>
      <c r="C2" s="10"/>
    </row>
    <row r="3" spans="1:10" ht="35.25" customHeight="1" x14ac:dyDescent="0.2">
      <c r="A3" s="6" t="s">
        <v>88</v>
      </c>
      <c r="B3" s="6" t="s">
        <v>5</v>
      </c>
      <c r="C3" s="6" t="s">
        <v>37</v>
      </c>
      <c r="D3" s="6" t="s">
        <v>39</v>
      </c>
      <c r="E3" s="6" t="s">
        <v>38</v>
      </c>
      <c r="F3" s="71" t="s">
        <v>200</v>
      </c>
      <c r="G3" s="6" t="s">
        <v>40</v>
      </c>
      <c r="H3" s="6" t="s">
        <v>41</v>
      </c>
      <c r="I3" s="6" t="s">
        <v>33</v>
      </c>
      <c r="J3" s="9" t="s">
        <v>42</v>
      </c>
    </row>
    <row r="4" spans="1:10" ht="25" customHeight="1" x14ac:dyDescent="0.2">
      <c r="A4" s="43" t="s">
        <v>189</v>
      </c>
      <c r="B4" s="43" t="s">
        <v>173</v>
      </c>
      <c r="C4" s="43">
        <v>36</v>
      </c>
      <c r="D4" s="43" t="s">
        <v>43</v>
      </c>
      <c r="E4" s="43">
        <v>6.5</v>
      </c>
      <c r="F4" s="43" t="s">
        <v>201</v>
      </c>
      <c r="G4" s="43" t="s">
        <v>65</v>
      </c>
      <c r="H4" s="43" t="s">
        <v>207</v>
      </c>
      <c r="I4" s="43" t="s">
        <v>70</v>
      </c>
      <c r="J4" s="43"/>
    </row>
    <row r="5" spans="1:10" ht="25" customHeight="1" x14ac:dyDescent="0.2">
      <c r="A5" s="43" t="s">
        <v>86</v>
      </c>
      <c r="B5" s="33"/>
      <c r="C5" s="33"/>
      <c r="D5" s="33"/>
      <c r="E5" s="33"/>
      <c r="F5" s="43"/>
      <c r="G5" s="33"/>
      <c r="H5" s="33"/>
      <c r="I5" s="33"/>
      <c r="J5" s="33"/>
    </row>
    <row r="6" spans="1:10" ht="25" customHeight="1" x14ac:dyDescent="0.2">
      <c r="A6" s="43" t="s">
        <v>89</v>
      </c>
      <c r="B6" s="33"/>
      <c r="C6" s="33"/>
      <c r="D6" s="33"/>
      <c r="E6" s="33"/>
      <c r="F6" s="43"/>
      <c r="G6" s="33"/>
      <c r="H6" s="33"/>
      <c r="I6" s="33"/>
      <c r="J6" s="33"/>
    </row>
    <row r="7" spans="1:10" ht="25" customHeight="1" x14ac:dyDescent="0.2">
      <c r="A7" s="43" t="s">
        <v>90</v>
      </c>
      <c r="B7" s="33"/>
      <c r="C7" s="33"/>
      <c r="D7" s="33"/>
      <c r="E7" s="33"/>
      <c r="F7" s="43"/>
      <c r="G7" s="33"/>
      <c r="H7" s="33"/>
      <c r="I7" s="33"/>
      <c r="J7" s="33"/>
    </row>
    <row r="8" spans="1:10" ht="25" customHeight="1" x14ac:dyDescent="0.2">
      <c r="A8" s="43" t="s">
        <v>91</v>
      </c>
      <c r="B8" s="33"/>
      <c r="C8" s="33"/>
      <c r="D8" s="33"/>
      <c r="E8" s="33"/>
      <c r="F8" s="43"/>
      <c r="G8" s="33"/>
      <c r="H8" s="33"/>
      <c r="I8" s="33"/>
      <c r="J8" s="33"/>
    </row>
    <row r="9" spans="1:10" ht="25" customHeight="1" x14ac:dyDescent="0.2">
      <c r="A9" s="43" t="s">
        <v>92</v>
      </c>
      <c r="B9" s="33"/>
      <c r="C9" s="33"/>
      <c r="D9" s="33"/>
      <c r="E9" s="33"/>
      <c r="F9" s="43"/>
      <c r="G9" s="33"/>
      <c r="H9" s="33"/>
      <c r="I9" s="33"/>
      <c r="J9" s="33"/>
    </row>
    <row r="10" spans="1:10" ht="25" customHeight="1" x14ac:dyDescent="0.2">
      <c r="A10" s="43" t="s">
        <v>93</v>
      </c>
      <c r="B10" s="33"/>
      <c r="C10" s="33"/>
      <c r="D10" s="33"/>
      <c r="E10" s="33"/>
      <c r="F10" s="43"/>
      <c r="G10" s="33"/>
      <c r="H10" s="33"/>
      <c r="I10" s="33"/>
      <c r="J10" s="33"/>
    </row>
    <row r="11" spans="1:10" ht="25" customHeight="1" x14ac:dyDescent="0.2">
      <c r="A11" s="43" t="s">
        <v>94</v>
      </c>
      <c r="B11" s="33"/>
      <c r="C11" s="33"/>
      <c r="D11" s="33"/>
      <c r="E11" s="33"/>
      <c r="F11" s="43"/>
      <c r="G11" s="33"/>
      <c r="H11" s="33"/>
      <c r="I11" s="33"/>
      <c r="J11" s="33"/>
    </row>
    <row r="12" spans="1:10" ht="25" customHeight="1" x14ac:dyDescent="0.2">
      <c r="A12" s="43" t="s">
        <v>95</v>
      </c>
      <c r="B12" s="33"/>
      <c r="C12" s="33"/>
      <c r="D12" s="33"/>
      <c r="E12" s="33"/>
      <c r="F12" s="43"/>
      <c r="G12" s="33"/>
      <c r="H12" s="33"/>
      <c r="I12" s="33"/>
      <c r="J12" s="33"/>
    </row>
    <row r="13" spans="1:10" ht="25" customHeight="1" x14ac:dyDescent="0.2">
      <c r="A13" s="43" t="s">
        <v>96</v>
      </c>
      <c r="B13" s="33"/>
      <c r="C13" s="33"/>
      <c r="D13" s="33"/>
      <c r="E13" s="33"/>
      <c r="F13" s="43"/>
      <c r="G13" s="33"/>
      <c r="H13" s="33"/>
      <c r="I13" s="33"/>
      <c r="J13" s="33"/>
    </row>
    <row r="14" spans="1:10" ht="25" customHeight="1" x14ac:dyDescent="0.2">
      <c r="A14" s="43" t="s">
        <v>97</v>
      </c>
      <c r="B14" s="33"/>
      <c r="C14" s="33"/>
      <c r="D14" s="33"/>
      <c r="E14" s="33"/>
      <c r="F14" s="43"/>
      <c r="G14" s="33"/>
      <c r="H14" s="33"/>
      <c r="I14" s="33"/>
      <c r="J14" s="33"/>
    </row>
    <row r="15" spans="1:10" ht="25" customHeight="1" x14ac:dyDescent="0.2">
      <c r="A15" s="43" t="s">
        <v>98</v>
      </c>
      <c r="B15" s="33"/>
      <c r="C15" s="33"/>
      <c r="D15" s="33"/>
      <c r="E15" s="33"/>
      <c r="F15" s="43"/>
      <c r="G15" s="33"/>
      <c r="H15" s="33"/>
      <c r="I15" s="33"/>
      <c r="J15" s="33"/>
    </row>
    <row r="16" spans="1:10" ht="25" customHeight="1" x14ac:dyDescent="0.2">
      <c r="A16" s="43" t="s">
        <v>99</v>
      </c>
      <c r="B16" s="33"/>
      <c r="C16" s="33"/>
      <c r="D16" s="33"/>
      <c r="E16" s="33"/>
      <c r="F16" s="43"/>
      <c r="G16" s="33"/>
      <c r="H16" s="33"/>
      <c r="I16" s="33"/>
      <c r="J16" s="33"/>
    </row>
    <row r="17" spans="1:10" ht="25" customHeight="1" x14ac:dyDescent="0.2">
      <c r="A17" s="43" t="s">
        <v>100</v>
      </c>
      <c r="B17" s="33"/>
      <c r="C17" s="33"/>
      <c r="D17" s="33"/>
      <c r="E17" s="33"/>
      <c r="F17" s="43"/>
      <c r="G17" s="33"/>
      <c r="H17" s="33"/>
      <c r="I17" s="33"/>
      <c r="J17" s="33"/>
    </row>
    <row r="18" spans="1:10" ht="25" customHeight="1" x14ac:dyDescent="0.2">
      <c r="A18" s="43" t="s">
        <v>101</v>
      </c>
      <c r="B18" s="33"/>
      <c r="C18" s="33"/>
      <c r="D18" s="33"/>
      <c r="E18" s="33"/>
      <c r="F18" s="43"/>
      <c r="G18" s="33"/>
      <c r="H18" s="33"/>
      <c r="I18" s="33"/>
      <c r="J18" s="33"/>
    </row>
    <row r="19" spans="1:10" ht="25" customHeight="1" x14ac:dyDescent="0.2">
      <c r="A19" s="43" t="s">
        <v>102</v>
      </c>
      <c r="B19" s="33"/>
      <c r="C19" s="33"/>
      <c r="D19" s="33"/>
      <c r="E19" s="33"/>
      <c r="F19" s="43"/>
      <c r="G19" s="33"/>
      <c r="H19" s="33"/>
      <c r="I19" s="33"/>
      <c r="J19" s="33"/>
    </row>
    <row r="20" spans="1:10" ht="25" customHeight="1" x14ac:dyDescent="0.2">
      <c r="A20" s="43" t="s">
        <v>103</v>
      </c>
      <c r="B20" s="33"/>
      <c r="C20" s="33"/>
      <c r="D20" s="33"/>
      <c r="E20" s="33"/>
      <c r="F20" s="43"/>
      <c r="G20" s="33"/>
      <c r="H20" s="33"/>
      <c r="I20" s="33"/>
      <c r="J20" s="33"/>
    </row>
    <row r="21" spans="1:10" ht="25" customHeight="1" x14ac:dyDescent="0.2">
      <c r="A21" s="43" t="s">
        <v>104</v>
      </c>
      <c r="B21" s="33"/>
      <c r="C21" s="33"/>
      <c r="D21" s="33"/>
      <c r="E21" s="33"/>
      <c r="F21" s="43"/>
      <c r="G21" s="33"/>
      <c r="H21" s="33"/>
      <c r="I21" s="33"/>
      <c r="J21" s="33"/>
    </row>
    <row r="22" spans="1:10" ht="25" customHeight="1" x14ac:dyDescent="0.2">
      <c r="A22" s="43" t="s">
        <v>105</v>
      </c>
      <c r="B22" s="33"/>
      <c r="C22" s="33"/>
      <c r="D22" s="33"/>
      <c r="E22" s="33"/>
      <c r="F22" s="43"/>
      <c r="G22" s="33"/>
      <c r="H22" s="33"/>
      <c r="I22" s="33"/>
      <c r="J22" s="33"/>
    </row>
    <row r="23" spans="1:10" ht="25" customHeight="1" x14ac:dyDescent="0.2">
      <c r="A23" s="43" t="s">
        <v>106</v>
      </c>
      <c r="B23" s="33"/>
      <c r="C23" s="33"/>
      <c r="D23" s="33"/>
      <c r="E23" s="33"/>
      <c r="F23" s="43"/>
      <c r="G23" s="33"/>
      <c r="H23" s="33"/>
      <c r="I23" s="33"/>
      <c r="J23" s="33"/>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6FBFBD66-5A5A-4099-8606-EE7A44BD5BD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Documentation!$I$28:$I$29</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6E844A8F-0529-4E28-9739-3AC38333B0E9}">
          <x14:formula1>
            <xm:f>Documentation!$J$9:$J$10</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61"/>
  <sheetViews>
    <sheetView showGridLines="0" topLeftCell="A4" zoomScaleNormal="100" workbookViewId="0">
      <pane xSplit="9" topLeftCell="J1" activePane="topRight" state="frozen"/>
      <selection pane="topRight" activeCell="A16" sqref="A16:XFD16"/>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45" ht="60" customHeight="1" x14ac:dyDescent="0.2">
      <c r="A1"/>
      <c r="B1" s="2"/>
      <c r="C1" s="14"/>
      <c r="D1" s="14"/>
      <c r="H1" s="47"/>
    </row>
    <row r="2" spans="1:45" ht="33.75" customHeight="1" x14ac:dyDescent="0.2">
      <c r="A2" s="87" t="s">
        <v>145</v>
      </c>
      <c r="B2" s="87"/>
      <c r="C2" s="10"/>
      <c r="D2" s="10"/>
      <c r="E2" s="5"/>
      <c r="F2" s="5"/>
      <c r="G2" s="5"/>
      <c r="H2" s="47"/>
    </row>
    <row r="3" spans="1:45" ht="21.75" customHeight="1" x14ac:dyDescent="0.2">
      <c r="A3" s="88" t="s">
        <v>174</v>
      </c>
      <c r="B3" s="88" t="s">
        <v>45</v>
      </c>
      <c r="C3" s="88" t="s">
        <v>75</v>
      </c>
      <c r="D3" s="88" t="s">
        <v>81</v>
      </c>
      <c r="E3" s="88"/>
      <c r="F3" s="88"/>
      <c r="G3" s="90" t="s">
        <v>46</v>
      </c>
      <c r="H3" s="90"/>
      <c r="I3" s="90"/>
      <c r="J3" s="91" t="s">
        <v>53</v>
      </c>
      <c r="K3" s="91"/>
      <c r="L3" s="91"/>
      <c r="M3" s="91"/>
      <c r="N3" s="13"/>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row>
    <row r="4" spans="1:45" ht="29.25" customHeight="1" x14ac:dyDescent="0.2">
      <c r="A4" s="88"/>
      <c r="B4" s="88"/>
      <c r="C4" s="88"/>
      <c r="D4" s="18" t="s">
        <v>5</v>
      </c>
      <c r="E4" s="20" t="s">
        <v>82</v>
      </c>
      <c r="F4" s="18" t="s">
        <v>7</v>
      </c>
      <c r="G4" s="23" t="s">
        <v>5</v>
      </c>
      <c r="H4" s="24" t="s">
        <v>82</v>
      </c>
      <c r="I4" s="23" t="s">
        <v>7</v>
      </c>
      <c r="J4" s="91"/>
      <c r="K4" s="91"/>
      <c r="L4" s="91"/>
      <c r="M4" s="91"/>
      <c r="N4" s="1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row>
    <row r="5" spans="1:45" ht="25" customHeight="1" x14ac:dyDescent="0.2">
      <c r="A5" s="32">
        <v>1</v>
      </c>
      <c r="B5" s="32" t="s">
        <v>83</v>
      </c>
      <c r="C5" s="32" t="s">
        <v>173</v>
      </c>
      <c r="D5" s="33" t="s">
        <v>70</v>
      </c>
      <c r="E5" s="32"/>
      <c r="F5" s="32"/>
      <c r="G5" s="32"/>
      <c r="H5" s="32"/>
      <c r="I5" s="32"/>
      <c r="J5" s="29">
        <v>0</v>
      </c>
      <c r="K5" s="25">
        <v>60</v>
      </c>
      <c r="L5" s="25">
        <v>120</v>
      </c>
      <c r="M5" s="25">
        <v>180</v>
      </c>
      <c r="N5" s="25">
        <v>240</v>
      </c>
      <c r="O5" s="25">
        <v>300</v>
      </c>
      <c r="P5" s="25">
        <v>360</v>
      </c>
      <c r="Q5" s="25">
        <v>420</v>
      </c>
      <c r="R5" s="25">
        <v>480</v>
      </c>
      <c r="S5" s="25">
        <v>540</v>
      </c>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2">
      <c r="A6" s="32">
        <v>1</v>
      </c>
      <c r="B6" s="32" t="s">
        <v>203</v>
      </c>
      <c r="C6" s="32" t="s">
        <v>173</v>
      </c>
      <c r="D6" s="32" t="s">
        <v>70</v>
      </c>
      <c r="E6" s="32">
        <v>100</v>
      </c>
      <c r="F6" s="32" t="s">
        <v>14</v>
      </c>
      <c r="G6" s="32" t="s">
        <v>65</v>
      </c>
      <c r="H6" s="32">
        <v>1000</v>
      </c>
      <c r="I6" s="32" t="s">
        <v>13</v>
      </c>
      <c r="J6" s="29">
        <f>J7/1000</f>
        <v>0.1</v>
      </c>
      <c r="K6" s="29">
        <f t="shared" ref="K6:R6" si="0">K7/1000</f>
        <v>4.0973729100000002E-2</v>
      </c>
      <c r="L6" s="29">
        <f t="shared" si="0"/>
        <v>0</v>
      </c>
      <c r="M6" s="29">
        <f t="shared" si="0"/>
        <v>0</v>
      </c>
      <c r="N6" s="29">
        <f t="shared" si="0"/>
        <v>0</v>
      </c>
      <c r="O6" s="29">
        <f t="shared" si="0"/>
        <v>0</v>
      </c>
      <c r="P6" s="29">
        <f t="shared" si="0"/>
        <v>0</v>
      </c>
      <c r="Q6" s="29">
        <f t="shared" si="0"/>
        <v>0</v>
      </c>
      <c r="R6" s="29">
        <f t="shared" si="0"/>
        <v>0</v>
      </c>
      <c r="S6" s="29">
        <f>S7/1000</f>
        <v>0</v>
      </c>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2">
      <c r="A7" s="32">
        <v>1</v>
      </c>
      <c r="B7" s="32" t="s">
        <v>52</v>
      </c>
      <c r="C7" s="32" t="s">
        <v>173</v>
      </c>
      <c r="D7" s="33" t="s">
        <v>70</v>
      </c>
      <c r="E7" s="32">
        <v>100</v>
      </c>
      <c r="F7" s="32" t="s">
        <v>14</v>
      </c>
      <c r="G7" s="32" t="s">
        <v>65</v>
      </c>
      <c r="H7" s="32">
        <v>100</v>
      </c>
      <c r="I7" s="32" t="s">
        <v>13</v>
      </c>
      <c r="J7" s="29">
        <v>100</v>
      </c>
      <c r="K7" s="25">
        <v>40.9737291</v>
      </c>
      <c r="L7" s="25">
        <v>0</v>
      </c>
      <c r="M7" s="25">
        <v>0</v>
      </c>
      <c r="N7" s="25">
        <v>0</v>
      </c>
      <c r="O7" s="25">
        <v>0</v>
      </c>
      <c r="P7" s="25">
        <v>0</v>
      </c>
      <c r="Q7" s="25">
        <v>0</v>
      </c>
      <c r="R7" s="25">
        <v>0</v>
      </c>
      <c r="S7" s="25">
        <v>0</v>
      </c>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2">
      <c r="A8" s="32">
        <v>1</v>
      </c>
      <c r="B8" s="32" t="s">
        <v>52</v>
      </c>
      <c r="C8" s="32" t="s">
        <v>173</v>
      </c>
      <c r="D8" s="33" t="s">
        <v>70</v>
      </c>
      <c r="E8" s="32">
        <v>100</v>
      </c>
      <c r="F8" s="32" t="s">
        <v>14</v>
      </c>
      <c r="G8" s="32" t="s">
        <v>205</v>
      </c>
      <c r="H8" s="32">
        <v>0</v>
      </c>
      <c r="I8" s="32" t="s">
        <v>13</v>
      </c>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2">
      <c r="A9" s="32">
        <v>1</v>
      </c>
      <c r="B9" s="32" t="s">
        <v>52</v>
      </c>
      <c r="C9" s="32" t="s">
        <v>173</v>
      </c>
      <c r="D9" s="33" t="s">
        <v>70</v>
      </c>
      <c r="E9" s="32">
        <v>100</v>
      </c>
      <c r="F9" s="32" t="s">
        <v>14</v>
      </c>
      <c r="G9" s="32" t="s">
        <v>68</v>
      </c>
      <c r="H9" s="32">
        <v>0</v>
      </c>
      <c r="I9" s="32" t="s">
        <v>13</v>
      </c>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2">
      <c r="A10" s="32">
        <v>2</v>
      </c>
      <c r="B10" s="32" t="s">
        <v>83</v>
      </c>
      <c r="C10" s="32" t="s">
        <v>173</v>
      </c>
      <c r="D10" s="32"/>
      <c r="E10" s="32"/>
      <c r="F10" s="32"/>
      <c r="G10" s="32"/>
      <c r="H10" s="32"/>
      <c r="I10" s="32"/>
      <c r="J10" s="29">
        <v>0</v>
      </c>
      <c r="K10" s="25">
        <v>60</v>
      </c>
      <c r="L10" s="25">
        <v>120</v>
      </c>
      <c r="M10" s="25">
        <v>180</v>
      </c>
      <c r="N10" s="25">
        <v>240</v>
      </c>
      <c r="O10" s="25">
        <v>300</v>
      </c>
      <c r="P10" s="25">
        <v>360</v>
      </c>
      <c r="Q10" s="25">
        <v>420</v>
      </c>
      <c r="R10" s="25">
        <v>480</v>
      </c>
      <c r="S10" s="25">
        <v>540</v>
      </c>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2">
      <c r="A11" s="32">
        <v>2</v>
      </c>
      <c r="B11" s="32" t="s">
        <v>203</v>
      </c>
      <c r="C11" s="32" t="s">
        <v>173</v>
      </c>
      <c r="D11" s="32" t="s">
        <v>70</v>
      </c>
      <c r="E11" s="32">
        <v>100</v>
      </c>
      <c r="F11" s="32" t="s">
        <v>14</v>
      </c>
      <c r="G11" s="32" t="s">
        <v>65</v>
      </c>
      <c r="H11" s="32">
        <v>1000</v>
      </c>
      <c r="I11" s="32" t="s">
        <v>13</v>
      </c>
      <c r="J11" s="29">
        <f>J12/1000</f>
        <v>1</v>
      </c>
      <c r="K11" s="29">
        <f t="shared" ref="K11:R11" si="1">K12/1000</f>
        <v>0.94006794839999996</v>
      </c>
      <c r="L11" s="29">
        <f t="shared" si="1"/>
        <v>0.88014036650000005</v>
      </c>
      <c r="M11" s="29">
        <f t="shared" si="1"/>
        <v>0.82021788340000001</v>
      </c>
      <c r="N11" s="29">
        <f t="shared" si="1"/>
        <v>0.76030127149999993</v>
      </c>
      <c r="O11" s="29">
        <f t="shared" si="1"/>
        <v>0.70039149249999999</v>
      </c>
      <c r="P11" s="29">
        <f t="shared" si="1"/>
        <v>0.64048976619999998</v>
      </c>
      <c r="Q11" s="29">
        <f t="shared" si="1"/>
        <v>0.58059767039999999</v>
      </c>
      <c r="R11" s="29">
        <f t="shared" si="1"/>
        <v>0.52071729760000007</v>
      </c>
      <c r="S11" s="29">
        <f>S12/1000</f>
        <v>0.46085150540000003</v>
      </c>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2">
      <c r="A12" s="32">
        <v>2</v>
      </c>
      <c r="B12" s="32" t="s">
        <v>52</v>
      </c>
      <c r="C12" s="32" t="s">
        <v>173</v>
      </c>
      <c r="D12" s="32" t="s">
        <v>70</v>
      </c>
      <c r="E12" s="32">
        <v>100</v>
      </c>
      <c r="F12" s="32" t="s">
        <v>14</v>
      </c>
      <c r="G12" s="32" t="s">
        <v>65</v>
      </c>
      <c r="H12" s="32">
        <v>1000</v>
      </c>
      <c r="I12" s="32" t="s">
        <v>13</v>
      </c>
      <c r="J12" s="29">
        <v>1000</v>
      </c>
      <c r="K12" s="25">
        <v>940.06794839999998</v>
      </c>
      <c r="L12" s="25">
        <v>880.14036650000003</v>
      </c>
      <c r="M12" s="25">
        <v>820.21788340000001</v>
      </c>
      <c r="N12" s="25">
        <v>760.30127149999998</v>
      </c>
      <c r="O12" s="25">
        <v>700.39149250000003</v>
      </c>
      <c r="P12" s="25">
        <v>640.48976619999996</v>
      </c>
      <c r="Q12" s="25">
        <v>580.59767039999997</v>
      </c>
      <c r="R12" s="25">
        <v>520.71729760000005</v>
      </c>
      <c r="S12" s="25">
        <v>460.85150540000001</v>
      </c>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2">
      <c r="A13" s="32">
        <v>2</v>
      </c>
      <c r="B13" s="32" t="s">
        <v>52</v>
      </c>
      <c r="C13" s="32" t="s">
        <v>173</v>
      </c>
      <c r="D13" s="33" t="s">
        <v>70</v>
      </c>
      <c r="E13" s="32">
        <v>100</v>
      </c>
      <c r="F13" s="32" t="s">
        <v>14</v>
      </c>
      <c r="G13" s="32" t="s">
        <v>205</v>
      </c>
      <c r="H13" s="32">
        <v>0</v>
      </c>
      <c r="I13" s="32" t="s">
        <v>13</v>
      </c>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5" customHeight="1" x14ac:dyDescent="0.2">
      <c r="A14" s="32">
        <v>2</v>
      </c>
      <c r="B14" s="32" t="s">
        <v>52</v>
      </c>
      <c r="C14" s="32" t="s">
        <v>173</v>
      </c>
      <c r="D14" s="32" t="s">
        <v>70</v>
      </c>
      <c r="E14" s="32">
        <v>100</v>
      </c>
      <c r="F14" s="32" t="s">
        <v>14</v>
      </c>
      <c r="G14" s="32" t="s">
        <v>68</v>
      </c>
      <c r="H14" s="32">
        <v>0</v>
      </c>
      <c r="I14" s="32" t="s">
        <v>13</v>
      </c>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2">
      <c r="A15" s="32">
        <v>3</v>
      </c>
      <c r="B15" s="32" t="s">
        <v>83</v>
      </c>
      <c r="C15" s="32" t="s">
        <v>173</v>
      </c>
      <c r="D15" s="32"/>
      <c r="E15" s="32"/>
      <c r="F15" s="32"/>
      <c r="G15" s="32"/>
      <c r="H15" s="32"/>
      <c r="I15" s="32"/>
      <c r="J15" s="29">
        <v>0</v>
      </c>
      <c r="K15" s="25">
        <v>60</v>
      </c>
      <c r="L15" s="25">
        <v>120</v>
      </c>
      <c r="M15" s="25">
        <v>180</v>
      </c>
      <c r="N15" s="25">
        <v>240</v>
      </c>
      <c r="O15" s="25">
        <v>300</v>
      </c>
      <c r="P15" s="25">
        <v>360</v>
      </c>
      <c r="Q15" s="25">
        <v>420</v>
      </c>
      <c r="R15" s="25">
        <v>480</v>
      </c>
      <c r="S15" s="25">
        <v>540</v>
      </c>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2">
      <c r="A16" s="32">
        <v>3</v>
      </c>
      <c r="B16" s="32" t="s">
        <v>203</v>
      </c>
      <c r="C16" s="32" t="s">
        <v>173</v>
      </c>
      <c r="D16" s="32" t="s">
        <v>70</v>
      </c>
      <c r="E16" s="32">
        <v>1</v>
      </c>
      <c r="F16" s="32" t="s">
        <v>14</v>
      </c>
      <c r="G16" s="32" t="s">
        <v>65</v>
      </c>
      <c r="H16" s="32">
        <v>1000</v>
      </c>
      <c r="I16" s="32" t="s">
        <v>13</v>
      </c>
      <c r="J16" s="29">
        <f>J17/1000</f>
        <v>1</v>
      </c>
      <c r="K16" s="29">
        <f t="shared" ref="K16:R16" si="2">K17/1000</f>
        <v>0.94006794839999996</v>
      </c>
      <c r="L16" s="29">
        <f t="shared" si="2"/>
        <v>0.88014036650000005</v>
      </c>
      <c r="M16" s="29">
        <f t="shared" si="2"/>
        <v>0.82021788340000001</v>
      </c>
      <c r="N16" s="29">
        <f t="shared" si="2"/>
        <v>0.76030127149999993</v>
      </c>
      <c r="O16" s="29">
        <f t="shared" si="2"/>
        <v>0.70039149249999999</v>
      </c>
      <c r="P16" s="29">
        <f t="shared" si="2"/>
        <v>0.64048976619999998</v>
      </c>
      <c r="Q16" s="29">
        <f t="shared" si="2"/>
        <v>0.58059767039999999</v>
      </c>
      <c r="R16" s="29">
        <f t="shared" si="2"/>
        <v>0.52071729760000007</v>
      </c>
      <c r="S16" s="29">
        <f>S17/1000</f>
        <v>0.46085150540000003</v>
      </c>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2">
      <c r="A17" s="32">
        <v>3</v>
      </c>
      <c r="B17" s="32" t="s">
        <v>52</v>
      </c>
      <c r="C17" s="32" t="s">
        <v>173</v>
      </c>
      <c r="D17" s="32" t="s">
        <v>70</v>
      </c>
      <c r="E17" s="32">
        <v>1</v>
      </c>
      <c r="F17" s="32" t="s">
        <v>14</v>
      </c>
      <c r="G17" s="32" t="s">
        <v>65</v>
      </c>
      <c r="H17" s="32">
        <v>1000</v>
      </c>
      <c r="I17" s="32" t="s">
        <v>13</v>
      </c>
      <c r="J17" s="29">
        <v>1000</v>
      </c>
      <c r="K17" s="25">
        <v>940.06794839999998</v>
      </c>
      <c r="L17" s="25">
        <v>880.14036650000003</v>
      </c>
      <c r="M17" s="25">
        <v>820.21788340000001</v>
      </c>
      <c r="N17" s="25">
        <v>760.30127149999998</v>
      </c>
      <c r="O17" s="25">
        <v>700.39149250000003</v>
      </c>
      <c r="P17" s="25">
        <v>640.48976619999996</v>
      </c>
      <c r="Q17" s="25">
        <v>580.59767039999997</v>
      </c>
      <c r="R17" s="25">
        <v>520.71729760000005</v>
      </c>
      <c r="S17" s="25">
        <v>460.85150540000001</v>
      </c>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2">
      <c r="A18" s="32">
        <v>3</v>
      </c>
      <c r="B18" s="32" t="s">
        <v>52</v>
      </c>
      <c r="C18" s="32" t="s">
        <v>173</v>
      </c>
      <c r="D18" s="33" t="s">
        <v>70</v>
      </c>
      <c r="E18" s="32">
        <v>1</v>
      </c>
      <c r="F18" s="32" t="s">
        <v>14</v>
      </c>
      <c r="G18" s="32" t="s">
        <v>205</v>
      </c>
      <c r="H18" s="32">
        <v>0</v>
      </c>
      <c r="I18" s="32" t="s">
        <v>13</v>
      </c>
      <c r="J18" s="29"/>
      <c r="K18" s="25"/>
      <c r="L18" s="25"/>
      <c r="M18" s="25"/>
      <c r="N18" s="25"/>
      <c r="O18" s="25"/>
      <c r="P18" s="25"/>
      <c r="Q18" s="25"/>
      <c r="R18" s="25"/>
      <c r="S18" s="25"/>
      <c r="T18" s="26"/>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2">
      <c r="A19" s="32">
        <v>3</v>
      </c>
      <c r="B19" s="32" t="s">
        <v>52</v>
      </c>
      <c r="C19" s="32" t="s">
        <v>173</v>
      </c>
      <c r="D19" s="32" t="s">
        <v>70</v>
      </c>
      <c r="E19" s="32">
        <v>1</v>
      </c>
      <c r="F19" s="32" t="s">
        <v>14</v>
      </c>
      <c r="G19" s="32" t="s">
        <v>68</v>
      </c>
      <c r="H19" s="32">
        <v>0</v>
      </c>
      <c r="I19" s="32" t="s">
        <v>13</v>
      </c>
      <c r="J19" s="29"/>
      <c r="K19" s="25"/>
      <c r="L19" s="25"/>
      <c r="M19" s="25"/>
      <c r="N19" s="25"/>
      <c r="O19" s="25"/>
      <c r="P19" s="25"/>
      <c r="Q19" s="25"/>
      <c r="R19" s="25"/>
      <c r="S19" s="25"/>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4" customHeight="1" x14ac:dyDescent="0.2">
      <c r="A20" s="32"/>
      <c r="B20" s="32"/>
      <c r="C20" s="32"/>
      <c r="D20" s="33"/>
      <c r="E20" s="32"/>
      <c r="F20" s="32"/>
      <c r="G20" s="32"/>
      <c r="H20" s="32"/>
      <c r="I20" s="32"/>
      <c r="J20" s="29"/>
      <c r="K20" s="25"/>
      <c r="L20" s="25"/>
      <c r="M20" s="25"/>
      <c r="N20" s="25"/>
      <c r="O20" s="25"/>
      <c r="P20" s="25"/>
      <c r="Q20" s="25"/>
      <c r="R20" s="25"/>
      <c r="S20" s="25"/>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2">
      <c r="A21" s="32"/>
      <c r="B21" s="32"/>
      <c r="C21" s="32"/>
      <c r="D21" s="33"/>
      <c r="E21" s="32"/>
      <c r="F21" s="32"/>
      <c r="G21" s="32"/>
      <c r="H21" s="32"/>
      <c r="I21" s="32"/>
      <c r="J21" s="29"/>
      <c r="K21" s="25"/>
      <c r="L21" s="25"/>
      <c r="M21" s="25"/>
      <c r="N21" s="25"/>
      <c r="O21" s="25"/>
      <c r="P21" s="25"/>
      <c r="Q21" s="25"/>
      <c r="R21" s="25"/>
      <c r="S21" s="25"/>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2">
      <c r="A22" s="32"/>
      <c r="B22" s="32"/>
      <c r="C22" s="32"/>
      <c r="D22" s="32"/>
      <c r="E22" s="32"/>
      <c r="F22" s="32"/>
      <c r="G22" s="32"/>
      <c r="H22" s="32"/>
      <c r="I22" s="32"/>
      <c r="J22" s="29"/>
      <c r="K22" s="25"/>
      <c r="L22" s="25"/>
      <c r="M22" s="25"/>
      <c r="N22" s="25"/>
      <c r="O22" s="25"/>
      <c r="P22" s="25"/>
      <c r="Q22" s="25"/>
      <c r="R22" s="25"/>
      <c r="S22" s="25"/>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2">
      <c r="A23" s="32"/>
      <c r="B23" s="32"/>
      <c r="C23" s="32"/>
      <c r="D23" s="32"/>
      <c r="E23" s="32"/>
      <c r="F23" s="32"/>
      <c r="G23" s="32"/>
      <c r="H23" s="32"/>
      <c r="I23" s="32"/>
      <c r="J23" s="50"/>
      <c r="K23" s="51"/>
      <c r="L23" s="51"/>
      <c r="M23" s="51"/>
      <c r="N23" s="51"/>
      <c r="O23" s="51"/>
      <c r="P23" s="51"/>
      <c r="Q23" s="51"/>
      <c r="R23" s="51"/>
      <c r="S23" s="51"/>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2">
      <c r="A24" s="32"/>
      <c r="B24" s="32"/>
      <c r="C24" s="32"/>
      <c r="D24" s="33"/>
      <c r="E24" s="32"/>
      <c r="F24" s="32"/>
      <c r="G24" s="32"/>
      <c r="H24" s="32"/>
      <c r="I24" s="49"/>
      <c r="J24" s="27"/>
      <c r="K24" s="27"/>
      <c r="L24" s="27"/>
      <c r="M24" s="27"/>
      <c r="N24" s="27"/>
      <c r="O24" s="27"/>
      <c r="P24" s="27"/>
      <c r="Q24" s="27"/>
      <c r="R24" s="27"/>
      <c r="S24" s="27"/>
      <c r="T24" s="31"/>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2">
      <c r="A25" s="32"/>
      <c r="B25" s="32"/>
      <c r="C25" s="32"/>
      <c r="D25" s="33"/>
      <c r="E25" s="32"/>
      <c r="F25" s="32"/>
      <c r="G25" s="32"/>
      <c r="H25" s="32"/>
      <c r="I25" s="49"/>
      <c r="J25" s="27"/>
      <c r="K25" s="27"/>
      <c r="L25" s="27"/>
      <c r="M25" s="27"/>
      <c r="N25" s="27"/>
      <c r="O25" s="27"/>
      <c r="P25" s="27"/>
      <c r="Q25" s="27"/>
      <c r="R25" s="27"/>
      <c r="S25" s="27"/>
      <c r="T25" s="31"/>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2">
      <c r="A26" s="32"/>
      <c r="B26" s="32"/>
      <c r="C26" s="32"/>
      <c r="D26" s="33"/>
      <c r="E26" s="32"/>
      <c r="F26" s="32"/>
      <c r="G26" s="32"/>
      <c r="H26" s="32"/>
      <c r="I26" s="49"/>
      <c r="J26" s="27"/>
      <c r="K26" s="27"/>
      <c r="L26" s="27"/>
      <c r="M26" s="27"/>
      <c r="N26" s="27"/>
      <c r="O26" s="27"/>
      <c r="P26" s="27"/>
      <c r="Q26" s="27"/>
      <c r="R26" s="27"/>
      <c r="S26" s="27"/>
      <c r="T26" s="31"/>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2">
      <c r="A27" s="32"/>
      <c r="B27" s="32"/>
      <c r="C27" s="32"/>
      <c r="D27" s="33"/>
      <c r="E27" s="32"/>
      <c r="F27" s="32"/>
      <c r="G27" s="32"/>
      <c r="H27" s="32"/>
      <c r="I27" s="32"/>
      <c r="J27" s="52"/>
      <c r="K27" s="53"/>
      <c r="L27" s="53"/>
      <c r="M27" s="53"/>
      <c r="N27" s="53"/>
      <c r="O27" s="53"/>
      <c r="P27" s="53"/>
      <c r="Q27" s="53"/>
      <c r="R27" s="53"/>
      <c r="S27" s="53"/>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2">
      <c r="A28" s="32"/>
      <c r="B28" s="32"/>
      <c r="C28" s="32"/>
      <c r="D28" s="33"/>
      <c r="E28" s="32"/>
      <c r="F28" s="32"/>
      <c r="G28" s="32"/>
      <c r="H28" s="32"/>
      <c r="I28" s="32"/>
      <c r="J28" s="30"/>
      <c r="K28" s="28"/>
      <c r="L28" s="28"/>
      <c r="M28" s="28"/>
      <c r="N28" s="28"/>
      <c r="O28" s="28"/>
      <c r="P28" s="28"/>
      <c r="Q28" s="28"/>
      <c r="R28" s="28"/>
      <c r="S28" s="28"/>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2">
      <c r="A29" s="32"/>
      <c r="B29" s="32"/>
      <c r="C29" s="32"/>
      <c r="D29" s="33"/>
      <c r="E29" s="32"/>
      <c r="F29" s="32"/>
      <c r="G29" s="32"/>
      <c r="H29" s="32"/>
      <c r="I29" s="32"/>
      <c r="J29" s="30"/>
      <c r="K29" s="28"/>
      <c r="L29" s="28"/>
      <c r="M29" s="28"/>
      <c r="N29" s="28"/>
      <c r="O29" s="28"/>
      <c r="P29" s="28"/>
      <c r="Q29" s="28"/>
      <c r="R29" s="28"/>
      <c r="S29" s="28"/>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2">
      <c r="A30" s="32"/>
      <c r="B30" s="32"/>
      <c r="C30" s="32"/>
      <c r="D30" s="33"/>
      <c r="E30" s="32"/>
      <c r="F30" s="32"/>
      <c r="G30" s="32"/>
      <c r="H30" s="32"/>
      <c r="I30" s="32"/>
      <c r="J30" s="29"/>
      <c r="K30" s="25"/>
      <c r="L30" s="25"/>
      <c r="M30" s="25"/>
      <c r="N30" s="25"/>
      <c r="O30" s="25"/>
      <c r="P30" s="25"/>
      <c r="Q30" s="25"/>
      <c r="R30" s="25"/>
      <c r="S30" s="25"/>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2">
      <c r="A31" s="32"/>
      <c r="B31" s="32"/>
      <c r="C31" s="32"/>
      <c r="D31" s="33"/>
      <c r="E31" s="32"/>
      <c r="F31" s="32"/>
      <c r="G31" s="32"/>
      <c r="H31" s="32"/>
      <c r="I31" s="32"/>
      <c r="J31" s="29"/>
      <c r="K31" s="25"/>
      <c r="L31" s="25"/>
      <c r="M31" s="25"/>
      <c r="N31" s="25"/>
      <c r="O31" s="25"/>
      <c r="P31" s="25"/>
      <c r="Q31" s="25"/>
      <c r="R31" s="25"/>
      <c r="S31" s="25"/>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2">
      <c r="A32" s="32"/>
      <c r="B32" s="32"/>
      <c r="C32" s="32"/>
      <c r="D32" s="33"/>
      <c r="E32" s="32"/>
      <c r="F32" s="32"/>
      <c r="G32" s="32"/>
      <c r="H32" s="32"/>
      <c r="I32" s="32"/>
      <c r="J32" s="29"/>
      <c r="K32" s="25"/>
      <c r="L32" s="25"/>
      <c r="M32" s="25"/>
      <c r="N32" s="25"/>
      <c r="O32" s="25"/>
      <c r="P32" s="25"/>
      <c r="Q32" s="25"/>
      <c r="R32" s="25"/>
      <c r="S32" s="25"/>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2">
      <c r="A33" s="32"/>
      <c r="B33" s="32"/>
      <c r="C33" s="32"/>
      <c r="D33" s="32"/>
      <c r="E33" s="32"/>
      <c r="F33" s="32"/>
      <c r="G33" s="32"/>
      <c r="H33" s="32"/>
      <c r="I33" s="32"/>
      <c r="J33" s="31"/>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7"/>
      <c r="AS33" s="27"/>
    </row>
    <row r="34" spans="1:45" ht="25" customHeight="1" x14ac:dyDescent="0.2">
      <c r="A34" s="32"/>
      <c r="B34" s="32"/>
      <c r="C34" s="32"/>
      <c r="D34" s="32"/>
      <c r="E34" s="32"/>
      <c r="F34" s="32"/>
      <c r="G34" s="32"/>
      <c r="H34" s="32"/>
      <c r="I34" s="32"/>
      <c r="J34" s="31"/>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7"/>
      <c r="AS34" s="27"/>
    </row>
    <row r="35" spans="1:45" ht="25" customHeight="1" x14ac:dyDescent="0.2">
      <c r="A35" s="32"/>
      <c r="B35" s="32"/>
      <c r="C35" s="32"/>
      <c r="D35" s="32"/>
      <c r="E35" s="32"/>
      <c r="F35" s="32"/>
      <c r="G35" s="32"/>
      <c r="H35" s="32"/>
      <c r="I35" s="32"/>
      <c r="J35" s="31"/>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7"/>
      <c r="AS35" s="27"/>
    </row>
    <row r="36" spans="1:45" ht="25" customHeight="1" x14ac:dyDescent="0.2">
      <c r="A36" s="32"/>
      <c r="B36" s="32"/>
      <c r="C36" s="32"/>
      <c r="D36" s="32"/>
      <c r="E36" s="32"/>
      <c r="F36" s="32"/>
      <c r="G36" s="32"/>
      <c r="H36" s="32"/>
      <c r="I36" s="32"/>
      <c r="J36" s="31"/>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7"/>
      <c r="AS36" s="27"/>
    </row>
    <row r="37" spans="1:45" ht="25" customHeight="1" x14ac:dyDescent="0.2">
      <c r="A37" s="32"/>
      <c r="B37" s="32"/>
      <c r="C37" s="32"/>
      <c r="D37" s="32"/>
      <c r="E37" s="32"/>
      <c r="F37" s="32"/>
      <c r="G37" s="32"/>
      <c r="H37" s="32"/>
      <c r="I37" s="32"/>
      <c r="J37" s="31"/>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7"/>
      <c r="AS37" s="27"/>
    </row>
    <row r="38" spans="1:45" ht="25" customHeight="1" x14ac:dyDescent="0.2">
      <c r="A38" s="32"/>
      <c r="B38" s="32"/>
      <c r="C38" s="32"/>
      <c r="D38" s="32"/>
      <c r="E38" s="32"/>
      <c r="F38" s="32"/>
      <c r="G38" s="32"/>
      <c r="H38" s="32"/>
      <c r="I38" s="32"/>
      <c r="J38" s="31"/>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7"/>
      <c r="AS38" s="27"/>
    </row>
    <row r="39" spans="1:45" ht="25" customHeight="1" x14ac:dyDescent="0.2">
      <c r="A39" s="32"/>
      <c r="B39" s="32"/>
      <c r="C39" s="32"/>
      <c r="D39" s="32"/>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2">
      <c r="A40" s="32"/>
      <c r="B40" s="32"/>
      <c r="C40" s="32"/>
      <c r="D40" s="32"/>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2">
      <c r="A41" s="32"/>
      <c r="B41" s="32"/>
      <c r="C41" s="32"/>
      <c r="D41" s="32"/>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2">
      <c r="A42" s="32"/>
      <c r="B42" s="32"/>
      <c r="C42" s="32"/>
      <c r="D42" s="32"/>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2">
      <c r="A43" s="32"/>
      <c r="B43" s="32"/>
      <c r="C43" s="32"/>
      <c r="D43" s="32"/>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2">
      <c r="A44" s="32"/>
      <c r="B44" s="32"/>
      <c r="C44" s="32"/>
      <c r="D44" s="32"/>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2">
      <c r="A45" s="32"/>
      <c r="B45" s="32"/>
      <c r="C45" s="32"/>
      <c r="D45" s="32"/>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2">
      <c r="A46" s="32"/>
      <c r="B46" s="32"/>
      <c r="C46" s="32"/>
      <c r="D46" s="32"/>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2">
      <c r="A47" s="32"/>
      <c r="B47" s="32"/>
      <c r="C47" s="32"/>
      <c r="D47" s="32"/>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2">
      <c r="A48" s="32"/>
      <c r="B48" s="32"/>
      <c r="C48" s="32"/>
      <c r="D48" s="32"/>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2">
      <c r="A49" s="32"/>
      <c r="B49" s="32"/>
      <c r="C49" s="32"/>
      <c r="D49" s="32"/>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2">
      <c r="A50" s="32"/>
      <c r="B50" s="32"/>
      <c r="C50" s="32"/>
      <c r="D50" s="32"/>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2">
      <c r="A51" s="32"/>
      <c r="B51" s="32"/>
      <c r="C51" s="32"/>
      <c r="D51" s="32"/>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2">
      <c r="A52" s="32"/>
      <c r="B52" s="32"/>
      <c r="C52" s="32"/>
      <c r="D52" s="32"/>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2"/>
    <row r="54" spans="1:45" ht="25" customHeight="1" x14ac:dyDescent="0.2"/>
    <row r="55" spans="1:45" ht="25" customHeight="1" x14ac:dyDescent="0.2"/>
    <row r="56" spans="1:45" ht="25" customHeight="1" x14ac:dyDescent="0.2"/>
    <row r="57" spans="1:45" ht="25" customHeight="1" x14ac:dyDescent="0.2"/>
    <row r="58" spans="1:45" ht="25" customHeight="1" x14ac:dyDescent="0.2"/>
    <row r="59" spans="1:45" ht="25" customHeight="1" x14ac:dyDescent="0.2"/>
    <row r="60" spans="1:45" ht="25" customHeight="1" x14ac:dyDescent="0.2"/>
    <row r="61" spans="1:45" ht="25" customHeight="1" x14ac:dyDescent="0.2"/>
    <row r="62" spans="1:45" ht="25" customHeight="1" x14ac:dyDescent="0.2"/>
    <row r="63" spans="1:45" ht="25" customHeight="1" x14ac:dyDescent="0.2"/>
    <row r="64" spans="1:45"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4:E52 E6:E9 E11:E14 E16:E22 H5:H52"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1CE55F3F-CAA0-47C6-AF86-C29EB4A02B35}">
          <x14:formula1>
            <xm:f>Proteins!$B$4:$B$23</xm:f>
          </x14:formula1>
          <xm:sqref>D24:D52 D11:D14 D16:D22 D5:D9</xm:sqref>
        </x14:dataValidation>
        <x14:dataValidation type="list" allowBlank="1" showInputMessage="1" showErrorMessage="1" xr:uid="{C400969F-107E-4479-A0A4-B16CAA38A8ED}">
          <x14:formula1>
            <xm:f>Reactants!$B$4:$B$23</xm:f>
          </x14:formula1>
          <xm:sqref>G24:G52 G5:G22</xm:sqref>
        </x14:dataValidation>
        <x14:dataValidation type="list" allowBlank="1" showInputMessage="1" showErrorMessage="1" xr:uid="{02520206-EB24-4861-88B9-8AC9E3DE874D}">
          <x14:formula1>
            <xm:f>Reactions!$B$4:$B$23</xm:f>
          </x14:formula1>
          <xm:sqref>C5:C52</xm:sqref>
        </x14:dataValidation>
        <x14:dataValidation type="list" allowBlank="1" showInputMessage="1" showErrorMessage="1" xr:uid="{8C50D412-1312-4192-AA7A-52A31FBEC074}">
          <x14:formula1>
            <xm:f>Documentation!$I$4:$I$20</xm:f>
          </x14:formula1>
          <xm:sqref>F24:F52 F5:F22</xm:sqref>
        </x14:dataValidation>
        <x14:dataValidation type="list" allowBlank="1" showInputMessage="1" showErrorMessage="1" xr:uid="{489C78CA-4156-4F85-9495-C6A3C86D1659}">
          <x14:formula1>
            <xm:f>Documentation!$I$4:$I$27</xm:f>
          </x14:formula1>
          <xm:sqref>I5:I52</xm:sqref>
        </x14:dataValidation>
        <x14:dataValidation type="list" allowBlank="1" showInputMessage="1" showErrorMessage="1" xr:uid="{9AFD9DC9-C22F-4D88-BE2F-04EADB02BA38}">
          <x14:formula1>
            <xm:f>Documentation!$K$4:$K$9</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3" sqref="A3:A4"/>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87" t="s">
        <v>147</v>
      </c>
      <c r="B2" s="87"/>
      <c r="C2" s="10"/>
      <c r="D2" s="4"/>
      <c r="E2" s="4"/>
      <c r="F2" s="4"/>
      <c r="G2" s="4"/>
    </row>
    <row r="3" spans="1:12" ht="17.5" customHeight="1" x14ac:dyDescent="0.2">
      <c r="A3" s="88" t="s">
        <v>75</v>
      </c>
      <c r="B3" s="88" t="s">
        <v>54</v>
      </c>
      <c r="C3" s="88" t="s">
        <v>57</v>
      </c>
      <c r="D3" s="88"/>
      <c r="E3" s="93" t="s">
        <v>55</v>
      </c>
      <c r="F3" s="93"/>
      <c r="G3" s="93"/>
    </row>
    <row r="4" spans="1:12" ht="17.5" customHeight="1" x14ac:dyDescent="0.2">
      <c r="A4" s="88"/>
      <c r="B4" s="88"/>
      <c r="C4" s="8" t="s">
        <v>33</v>
      </c>
      <c r="D4" s="8" t="s">
        <v>4</v>
      </c>
      <c r="E4" s="16" t="s">
        <v>5</v>
      </c>
      <c r="F4" s="16" t="s">
        <v>56</v>
      </c>
      <c r="G4" s="16" t="s">
        <v>7</v>
      </c>
    </row>
    <row r="5" spans="1:12" ht="25" customHeight="1" x14ac:dyDescent="0.2">
      <c r="A5" s="42" t="s">
        <v>74</v>
      </c>
      <c r="B5" s="42" t="s">
        <v>175</v>
      </c>
      <c r="C5" s="42" t="s">
        <v>70</v>
      </c>
      <c r="D5" s="42" t="s">
        <v>77</v>
      </c>
      <c r="E5" s="42" t="s">
        <v>78</v>
      </c>
      <c r="F5" s="42">
        <v>1.1000000000000001</v>
      </c>
      <c r="G5" s="42" t="s">
        <v>13</v>
      </c>
      <c r="H5" s="14"/>
      <c r="I5" s="14"/>
      <c r="J5" s="14"/>
      <c r="K5" s="14"/>
      <c r="L5" s="14"/>
    </row>
    <row r="6" spans="1:12" ht="25" customHeight="1" x14ac:dyDescent="0.2">
      <c r="A6" s="32"/>
      <c r="B6" s="32"/>
      <c r="C6" s="32"/>
      <c r="D6" s="32"/>
      <c r="E6" s="32" t="s">
        <v>79</v>
      </c>
      <c r="F6" s="32">
        <v>10</v>
      </c>
      <c r="G6" s="32" t="s">
        <v>144</v>
      </c>
      <c r="H6" s="14"/>
      <c r="I6" s="92" t="s">
        <v>46</v>
      </c>
      <c r="J6" s="92"/>
      <c r="K6" s="92" t="s">
        <v>81</v>
      </c>
      <c r="L6" s="92"/>
    </row>
    <row r="7" spans="1:12" ht="25" customHeight="1" x14ac:dyDescent="0.2">
      <c r="A7" s="32"/>
      <c r="B7" s="42"/>
      <c r="C7" s="32"/>
      <c r="D7" s="32"/>
      <c r="E7" s="32"/>
      <c r="F7" s="32"/>
      <c r="G7" s="32"/>
      <c r="H7" s="14"/>
      <c r="I7" s="22" t="s">
        <v>5</v>
      </c>
      <c r="J7" s="22" t="s">
        <v>88</v>
      </c>
      <c r="K7" s="22" t="s">
        <v>5</v>
      </c>
      <c r="L7" s="22" t="s">
        <v>88</v>
      </c>
    </row>
    <row r="8" spans="1:12" ht="25" customHeight="1" x14ac:dyDescent="0.2">
      <c r="A8" s="32"/>
      <c r="B8" s="32"/>
      <c r="C8" s="32"/>
      <c r="D8" s="32"/>
      <c r="E8" s="32"/>
      <c r="F8" s="32"/>
      <c r="G8" s="32"/>
      <c r="H8" s="14"/>
      <c r="I8" s="21" t="str" cm="1">
        <f t="array" ref="I8:I27">Reactants!B4:B23</f>
        <v>Pyruvate</v>
      </c>
      <c r="J8" s="21" t="str">
        <f>IF(I8=" "," ",Reactants!A4)</f>
        <v>s0</v>
      </c>
      <c r="K8" s="21" t="str" cm="1">
        <f t="array" ref="K8:K27">Proteins!B4:B23</f>
        <v>Pyruvate decarboxylase isozyme 1</v>
      </c>
      <c r="L8" s="21" t="str">
        <f>IF(K8=" "," ",Proteins!A4)</f>
        <v>p0</v>
      </c>
    </row>
    <row r="9" spans="1:12" ht="25" customHeight="1" x14ac:dyDescent="0.2">
      <c r="A9" s="32"/>
      <c r="B9" s="32"/>
      <c r="C9" s="32"/>
      <c r="D9" s="32"/>
      <c r="E9" s="32"/>
      <c r="F9" s="32"/>
      <c r="G9" s="32"/>
      <c r="H9" s="14"/>
      <c r="I9" s="21" t="str">
        <v>Acetaldehyde</v>
      </c>
      <c r="J9" s="21" t="str">
        <f>IF(I9=" "," ",Reactants!A5)</f>
        <v>s1</v>
      </c>
      <c r="K9" s="21">
        <v>0</v>
      </c>
      <c r="L9" s="21" t="str">
        <f>IF(K9=" "," ",Proteins!A5)</f>
        <v>p1</v>
      </c>
    </row>
    <row r="10" spans="1:12" ht="25" customHeight="1" x14ac:dyDescent="0.2">
      <c r="A10" s="32"/>
      <c r="B10" s="32"/>
      <c r="C10" s="32"/>
      <c r="D10" s="32"/>
      <c r="E10" s="32"/>
      <c r="F10" s="32"/>
      <c r="G10" s="32"/>
      <c r="H10" s="14"/>
      <c r="I10" s="21" t="str">
        <v>CO2</v>
      </c>
      <c r="J10" s="21" t="str">
        <f>IF(I10=" "," ",Reactants!A6)</f>
        <v>s2</v>
      </c>
      <c r="K10" s="21">
        <v>0</v>
      </c>
      <c r="L10" s="21" t="str">
        <f>IF(K10=" "," ",Proteins!A6)</f>
        <v>p2</v>
      </c>
    </row>
    <row r="11" spans="1:12" ht="25" customHeight="1" x14ac:dyDescent="0.2">
      <c r="A11" s="32"/>
      <c r="B11" s="32"/>
      <c r="C11" s="32"/>
      <c r="D11" s="32"/>
      <c r="E11" s="32"/>
      <c r="F11" s="32"/>
      <c r="G11" s="32"/>
      <c r="H11" s="14"/>
      <c r="I11" s="14">
        <v>0</v>
      </c>
      <c r="J11" s="14" t="str">
        <f>IF(I11=" "," ",Reactants!A7)</f>
        <v>s3</v>
      </c>
      <c r="K11" s="14">
        <v>0</v>
      </c>
      <c r="L11" s="21" t="str">
        <f>IF(K11=" "," ",Proteins!A7)</f>
        <v>p3</v>
      </c>
    </row>
    <row r="12" spans="1:12" ht="25" customHeight="1" x14ac:dyDescent="0.2">
      <c r="A12" s="32"/>
      <c r="B12" s="32"/>
      <c r="C12" s="32"/>
      <c r="D12" s="32"/>
      <c r="E12" s="32"/>
      <c r="F12" s="32"/>
      <c r="G12" s="32"/>
      <c r="H12" s="14"/>
      <c r="I12" s="14">
        <v>0</v>
      </c>
      <c r="J12" s="14" t="str">
        <f>IF(I12=" "," ",Reactants!A8)</f>
        <v>s4</v>
      </c>
      <c r="K12" s="14">
        <v>0</v>
      </c>
      <c r="L12" s="21" t="str">
        <f>IF(K12=" "," ",Proteins!A8)</f>
        <v>p4</v>
      </c>
    </row>
    <row r="13" spans="1:12" ht="25" customHeight="1" x14ac:dyDescent="0.2">
      <c r="A13" s="32"/>
      <c r="B13" s="32"/>
      <c r="C13" s="32"/>
      <c r="D13" s="32"/>
      <c r="E13" s="32"/>
      <c r="F13" s="32"/>
      <c r="G13" s="32"/>
      <c r="H13" s="14"/>
      <c r="I13" s="14">
        <v>0</v>
      </c>
      <c r="J13" s="14" t="str">
        <f>IF(I13=" "," ",Reactants!A9)</f>
        <v>s5</v>
      </c>
      <c r="K13" s="14">
        <v>0</v>
      </c>
      <c r="L13" s="21" t="str">
        <f>IF(K13=" "," ",Proteins!A9)</f>
        <v>p5</v>
      </c>
    </row>
    <row r="14" spans="1:12" ht="25" customHeight="1" x14ac:dyDescent="0.2">
      <c r="A14" s="32"/>
      <c r="B14" s="32"/>
      <c r="C14" s="32"/>
      <c r="D14" s="32"/>
      <c r="E14" s="32"/>
      <c r="F14" s="32"/>
      <c r="G14" s="32"/>
      <c r="H14" s="14"/>
      <c r="I14" s="14">
        <v>0</v>
      </c>
      <c r="J14" s="14" t="str">
        <f>IF(I14=" "," ",Reactants!A10)</f>
        <v>s6</v>
      </c>
      <c r="K14" s="14">
        <v>0</v>
      </c>
      <c r="L14" s="21" t="str">
        <f>IF(K14=" "," ",Proteins!A10)</f>
        <v>p6</v>
      </c>
    </row>
    <row r="15" spans="1:12" ht="25" customHeight="1" x14ac:dyDescent="0.2">
      <c r="A15" s="32"/>
      <c r="B15" s="32"/>
      <c r="C15" s="32"/>
      <c r="D15" s="32"/>
      <c r="E15" s="32"/>
      <c r="F15" s="32"/>
      <c r="G15" s="32"/>
      <c r="H15" s="14"/>
      <c r="I15" s="14">
        <v>0</v>
      </c>
      <c r="J15" s="14" t="str">
        <f>IF(I15=" "," ",Reactants!A11)</f>
        <v>s7</v>
      </c>
      <c r="K15" s="14">
        <v>0</v>
      </c>
      <c r="L15" s="21" t="str">
        <f>IF(K15=" "," ",Proteins!A11)</f>
        <v>p7</v>
      </c>
    </row>
    <row r="16" spans="1:12" ht="25" customHeight="1" x14ac:dyDescent="0.2">
      <c r="A16" s="32"/>
      <c r="B16" s="32"/>
      <c r="C16" s="32"/>
      <c r="D16" s="32"/>
      <c r="E16" s="32"/>
      <c r="F16" s="32"/>
      <c r="G16" s="32"/>
      <c r="H16" s="14"/>
      <c r="I16" s="14">
        <v>0</v>
      </c>
      <c r="J16" s="14" t="str">
        <f>IF(I16=" "," ",Reactants!A12)</f>
        <v>s8</v>
      </c>
      <c r="K16" s="14">
        <v>0</v>
      </c>
      <c r="L16" s="21" t="str">
        <f>IF(K16=" "," ",Proteins!A12)</f>
        <v>p8</v>
      </c>
    </row>
    <row r="17" spans="1:12" ht="25" customHeight="1" x14ac:dyDescent="0.2">
      <c r="A17" s="32"/>
      <c r="B17" s="32"/>
      <c r="C17" s="32"/>
      <c r="D17" s="32"/>
      <c r="E17" s="32"/>
      <c r="F17" s="32"/>
      <c r="G17" s="32"/>
      <c r="H17" s="14"/>
      <c r="I17" s="14">
        <v>0</v>
      </c>
      <c r="J17" s="14" t="str">
        <f>IF(I17=" "," ",Reactants!A13)</f>
        <v>s9</v>
      </c>
      <c r="K17" s="14">
        <v>0</v>
      </c>
      <c r="L17" s="21" t="str">
        <f>IF(K17=" "," ",Proteins!A13)</f>
        <v>p9</v>
      </c>
    </row>
    <row r="18" spans="1:12" ht="25" customHeight="1" x14ac:dyDescent="0.2">
      <c r="A18" s="32"/>
      <c r="B18" s="32"/>
      <c r="C18" s="32"/>
      <c r="D18" s="32"/>
      <c r="E18" s="32"/>
      <c r="F18" s="32"/>
      <c r="G18" s="32"/>
      <c r="H18" s="14"/>
      <c r="I18" s="14">
        <v>0</v>
      </c>
      <c r="J18" s="14" t="str">
        <f>IF(I18=" "," ",Reactants!A14)</f>
        <v>s10</v>
      </c>
      <c r="K18" s="14">
        <v>0</v>
      </c>
      <c r="L18" s="21" t="str">
        <f>IF(K18=" "," ",Proteins!A14)</f>
        <v>p10</v>
      </c>
    </row>
    <row r="19" spans="1:12" ht="25" customHeight="1" x14ac:dyDescent="0.2">
      <c r="A19" s="32"/>
      <c r="B19" s="32"/>
      <c r="C19" s="32"/>
      <c r="D19" s="32"/>
      <c r="E19" s="32"/>
      <c r="F19" s="32"/>
      <c r="G19" s="32"/>
      <c r="H19" s="14"/>
      <c r="I19" s="14">
        <v>0</v>
      </c>
      <c r="J19" s="14" t="str">
        <f>IF(I19=" "," ",Reactants!A15)</f>
        <v>s11</v>
      </c>
      <c r="K19" s="14">
        <v>0</v>
      </c>
      <c r="L19" s="21" t="str">
        <f>IF(K19=" "," ",Proteins!A15)</f>
        <v>p11</v>
      </c>
    </row>
    <row r="20" spans="1:12" ht="25" customHeight="1" x14ac:dyDescent="0.2">
      <c r="A20" s="32"/>
      <c r="B20" s="32"/>
      <c r="C20" s="32"/>
      <c r="D20" s="32"/>
      <c r="E20" s="32"/>
      <c r="F20" s="32"/>
      <c r="G20" s="32"/>
      <c r="H20" s="14"/>
      <c r="I20" s="14">
        <v>0</v>
      </c>
      <c r="J20" s="14" t="str">
        <f>IF(I20=" "," ",Reactants!A16)</f>
        <v>s12</v>
      </c>
      <c r="K20" s="14">
        <v>0</v>
      </c>
      <c r="L20" s="21" t="str">
        <f>IF(K20=" "," ",Proteins!A16)</f>
        <v>p12</v>
      </c>
    </row>
    <row r="21" spans="1:12" ht="25" customHeight="1" x14ac:dyDescent="0.2">
      <c r="A21" s="32"/>
      <c r="B21" s="32"/>
      <c r="C21" s="32"/>
      <c r="D21" s="32"/>
      <c r="E21" s="32"/>
      <c r="F21" s="32"/>
      <c r="G21" s="32"/>
      <c r="H21" s="14"/>
      <c r="I21" s="14">
        <v>0</v>
      </c>
      <c r="J21" s="14" t="str">
        <f>IF(I21=" "," ",Reactants!A17)</f>
        <v>s13</v>
      </c>
      <c r="K21" s="14">
        <v>0</v>
      </c>
      <c r="L21" s="21" t="str">
        <f>IF(K21=" "," ",Proteins!A17)</f>
        <v>p13</v>
      </c>
    </row>
    <row r="22" spans="1:12" ht="25" customHeight="1" x14ac:dyDescent="0.2">
      <c r="A22" s="32"/>
      <c r="B22" s="32"/>
      <c r="C22" s="32"/>
      <c r="D22" s="32"/>
      <c r="E22" s="32"/>
      <c r="F22" s="32"/>
      <c r="G22" s="32"/>
      <c r="H22" s="14"/>
      <c r="I22" s="14">
        <v>0</v>
      </c>
      <c r="J22" s="14" t="str">
        <f>IF(I22=" "," ",Reactants!A18)</f>
        <v>s14</v>
      </c>
      <c r="K22" s="14">
        <v>0</v>
      </c>
      <c r="L22" s="21" t="str">
        <f>IF(K22=" "," ",Proteins!A18)</f>
        <v>p14</v>
      </c>
    </row>
    <row r="23" spans="1:12" ht="25" customHeight="1" x14ac:dyDescent="0.2">
      <c r="A23" s="32"/>
      <c r="B23" s="32"/>
      <c r="C23" s="32"/>
      <c r="D23" s="32"/>
      <c r="E23" s="32"/>
      <c r="F23" s="32"/>
      <c r="G23" s="32"/>
      <c r="H23" s="14"/>
      <c r="I23" s="14">
        <v>0</v>
      </c>
      <c r="J23" s="14" t="str">
        <f>IF(I23=" "," ",Reactants!A19)</f>
        <v>s15</v>
      </c>
      <c r="K23" s="14">
        <v>0</v>
      </c>
      <c r="L23" s="21" t="str">
        <f>IF(K23=" "," ",Proteins!A19)</f>
        <v>p15</v>
      </c>
    </row>
    <row r="24" spans="1:12" ht="25" customHeight="1" x14ac:dyDescent="0.2">
      <c r="A24" s="32"/>
      <c r="B24" s="32"/>
      <c r="C24" s="32"/>
      <c r="D24" s="32"/>
      <c r="E24" s="32"/>
      <c r="F24" s="32"/>
      <c r="G24" s="32"/>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T55"/>
  <sheetViews>
    <sheetView showGridLines="0" zoomScaleNormal="100" workbookViewId="0">
      <selection activeCell="B16" sqref="B16"/>
    </sheetView>
  </sheetViews>
  <sheetFormatPr baseColWidth="10" defaultColWidth="25.6640625" defaultRowHeight="15" x14ac:dyDescent="0.2"/>
  <cols>
    <col min="2" max="2" width="102.6640625" customWidth="1"/>
  </cols>
  <sheetData>
    <row r="1" spans="1:20" ht="60" customHeight="1" x14ac:dyDescent="0.2">
      <c r="B1" s="48"/>
      <c r="C1" s="48"/>
      <c r="D1" s="17"/>
      <c r="E1" s="17"/>
      <c r="F1" s="17"/>
      <c r="G1" s="17"/>
      <c r="H1" s="17"/>
      <c r="I1" s="17"/>
      <c r="J1" s="17"/>
    </row>
    <row r="2" spans="1:20" ht="35.25" customHeight="1" x14ac:dyDescent="0.2">
      <c r="A2" s="87" t="s">
        <v>177</v>
      </c>
      <c r="B2" s="87"/>
      <c r="C2" s="10"/>
      <c r="D2" s="17"/>
      <c r="E2" s="17"/>
      <c r="F2" s="17"/>
      <c r="G2" s="17"/>
      <c r="H2" s="3"/>
      <c r="I2" s="3"/>
      <c r="J2" s="3"/>
      <c r="K2" s="3"/>
      <c r="L2" s="3"/>
      <c r="M2" s="3"/>
      <c r="N2" s="3"/>
      <c r="O2" s="3"/>
    </row>
    <row r="3" spans="1:20" x14ac:dyDescent="0.2">
      <c r="D3" s="72"/>
      <c r="E3" s="72"/>
      <c r="F3" s="72"/>
      <c r="G3" s="72"/>
      <c r="H3" s="3"/>
      <c r="I3" s="3" t="s">
        <v>11</v>
      </c>
      <c r="J3" s="3" t="s">
        <v>29</v>
      </c>
      <c r="K3" s="3" t="s">
        <v>51</v>
      </c>
      <c r="L3" s="3"/>
      <c r="M3" s="3"/>
      <c r="N3" s="3"/>
      <c r="O3" s="72"/>
      <c r="P3" s="72"/>
      <c r="Q3" s="72"/>
      <c r="R3" s="72"/>
      <c r="S3" s="72"/>
      <c r="T3" s="72"/>
    </row>
    <row r="4" spans="1:20" x14ac:dyDescent="0.2">
      <c r="D4" s="72"/>
      <c r="E4" s="72"/>
      <c r="F4" s="72"/>
      <c r="G4" s="72"/>
      <c r="H4" s="3"/>
      <c r="I4" s="3" t="s">
        <v>12</v>
      </c>
      <c r="J4" s="3" t="s">
        <v>8</v>
      </c>
      <c r="K4" s="3" t="s">
        <v>52</v>
      </c>
      <c r="L4" s="3"/>
      <c r="M4" s="3"/>
      <c r="N4" s="3"/>
      <c r="O4" s="72"/>
      <c r="P4" s="72"/>
      <c r="Q4" s="72"/>
      <c r="R4" s="72"/>
      <c r="S4" s="72"/>
      <c r="T4" s="72"/>
    </row>
    <row r="5" spans="1:20" ht="25" customHeight="1" x14ac:dyDescent="0.2">
      <c r="A5" s="56" t="s">
        <v>178</v>
      </c>
      <c r="B5" s="57"/>
      <c r="D5" s="72"/>
      <c r="E5" s="72"/>
      <c r="F5" s="72"/>
      <c r="G5" s="72"/>
      <c r="H5" s="3"/>
      <c r="I5" s="3" t="s">
        <v>13</v>
      </c>
      <c r="J5" s="3" t="s">
        <v>30</v>
      </c>
      <c r="K5" s="3" t="s">
        <v>203</v>
      </c>
      <c r="L5" s="3"/>
      <c r="M5" s="3"/>
      <c r="N5" s="3"/>
      <c r="O5" s="72"/>
      <c r="P5" s="72"/>
      <c r="Q5" s="72"/>
      <c r="R5" s="72"/>
      <c r="S5" s="72"/>
      <c r="T5" s="72"/>
    </row>
    <row r="6" spans="1:20" ht="12" customHeight="1" x14ac:dyDescent="0.2">
      <c r="D6" s="72"/>
      <c r="E6" s="72"/>
      <c r="F6" s="72"/>
      <c r="G6" s="72"/>
      <c r="H6" s="3"/>
      <c r="I6" s="3" t="s">
        <v>14</v>
      </c>
      <c r="J6" s="3"/>
      <c r="K6" s="3" t="s">
        <v>83</v>
      </c>
      <c r="L6" s="3"/>
      <c r="M6" s="3"/>
      <c r="N6" s="3"/>
      <c r="O6" s="72"/>
      <c r="P6" s="72"/>
      <c r="Q6" s="72"/>
      <c r="R6" s="72"/>
      <c r="S6" s="72"/>
      <c r="T6" s="72"/>
    </row>
    <row r="7" spans="1:20" ht="89.25" customHeight="1" x14ac:dyDescent="0.2">
      <c r="A7" s="69"/>
      <c r="B7" s="70" t="s">
        <v>199</v>
      </c>
      <c r="D7" s="72"/>
      <c r="E7" s="72"/>
      <c r="F7" s="72"/>
      <c r="G7" s="72"/>
      <c r="H7" s="3"/>
      <c r="I7" s="3"/>
      <c r="J7" s="3"/>
      <c r="K7" s="3" t="s">
        <v>84</v>
      </c>
      <c r="L7" s="3"/>
      <c r="M7" s="3"/>
      <c r="N7" s="3"/>
      <c r="O7" s="72"/>
      <c r="P7" s="72"/>
      <c r="Q7" s="72"/>
      <c r="R7" s="72"/>
      <c r="S7" s="72"/>
      <c r="T7" s="72"/>
    </row>
    <row r="8" spans="1:20" ht="38" customHeight="1" x14ac:dyDescent="0.2">
      <c r="A8" s="69"/>
      <c r="B8" s="60" t="s">
        <v>208</v>
      </c>
      <c r="D8" s="72"/>
      <c r="E8" s="72"/>
      <c r="F8" s="72"/>
      <c r="G8" s="72"/>
      <c r="H8" s="3"/>
      <c r="I8" s="3"/>
      <c r="J8" s="3"/>
      <c r="K8" s="3"/>
      <c r="L8" s="3"/>
      <c r="M8" s="3"/>
      <c r="N8" s="3"/>
      <c r="O8" s="72"/>
      <c r="P8" s="72"/>
      <c r="Q8" s="72"/>
      <c r="R8" s="72"/>
      <c r="S8" s="72"/>
      <c r="T8" s="72"/>
    </row>
    <row r="9" spans="1:20" ht="30" customHeight="1" x14ac:dyDescent="0.2">
      <c r="A9" s="69" t="s">
        <v>185</v>
      </c>
      <c r="B9" s="60" t="s">
        <v>179</v>
      </c>
      <c r="D9" s="72"/>
      <c r="E9" s="72"/>
      <c r="F9" s="72"/>
      <c r="G9" s="72"/>
      <c r="H9" s="3"/>
      <c r="I9" s="3" t="s">
        <v>15</v>
      </c>
      <c r="J9" s="3" t="s">
        <v>201</v>
      </c>
      <c r="K9" s="3" t="s">
        <v>85</v>
      </c>
      <c r="L9" s="3"/>
      <c r="M9" s="3"/>
      <c r="N9" s="3"/>
      <c r="O9" s="72"/>
      <c r="P9" s="72"/>
      <c r="Q9" s="72"/>
      <c r="R9" s="72"/>
      <c r="S9" s="72"/>
      <c r="T9" s="72"/>
    </row>
    <row r="10" spans="1:20" ht="30" customHeight="1" x14ac:dyDescent="0.2">
      <c r="A10" s="69" t="s">
        <v>185</v>
      </c>
      <c r="B10" s="60" t="s">
        <v>180</v>
      </c>
      <c r="D10" s="72"/>
      <c r="E10" s="72"/>
      <c r="F10" s="72"/>
      <c r="G10" s="72"/>
      <c r="H10" s="3"/>
      <c r="I10" s="3" t="s">
        <v>16</v>
      </c>
      <c r="J10" s="3" t="s">
        <v>202</v>
      </c>
      <c r="K10" s="3"/>
      <c r="L10" s="3"/>
      <c r="M10" s="3"/>
      <c r="N10" s="3"/>
      <c r="O10" s="72"/>
      <c r="P10" s="72"/>
      <c r="Q10" s="72"/>
      <c r="R10" s="72"/>
      <c r="S10" s="72"/>
      <c r="T10" s="72"/>
    </row>
    <row r="11" spans="1:20" ht="30" customHeight="1" x14ac:dyDescent="0.2">
      <c r="A11" s="69" t="s">
        <v>185</v>
      </c>
      <c r="B11" s="60" t="s">
        <v>181</v>
      </c>
      <c r="D11" s="72"/>
      <c r="E11" s="72"/>
      <c r="F11" s="72"/>
      <c r="G11" s="72"/>
      <c r="H11" s="3"/>
      <c r="I11" s="3" t="s">
        <v>17</v>
      </c>
      <c r="J11" s="3"/>
      <c r="K11" s="3"/>
      <c r="L11" s="3"/>
      <c r="M11" s="3"/>
      <c r="N11" s="3"/>
      <c r="O11" s="72"/>
      <c r="P11" s="72"/>
      <c r="Q11" s="72"/>
      <c r="R11" s="72"/>
      <c r="S11" s="72"/>
      <c r="T11" s="72"/>
    </row>
    <row r="12" spans="1:20" ht="30" customHeight="1" x14ac:dyDescent="0.2">
      <c r="B12" s="55"/>
      <c r="D12" s="72"/>
      <c r="E12" s="72"/>
      <c r="F12" s="72"/>
      <c r="G12" s="72"/>
      <c r="H12" s="3"/>
      <c r="I12" s="3" t="s">
        <v>18</v>
      </c>
      <c r="J12" s="3"/>
      <c r="K12" s="3"/>
      <c r="L12" s="3"/>
      <c r="M12" s="3"/>
      <c r="N12" s="3"/>
      <c r="O12" s="72"/>
      <c r="P12" s="72"/>
      <c r="Q12" s="72"/>
      <c r="R12" s="72"/>
      <c r="S12" s="72"/>
      <c r="T12" s="72"/>
    </row>
    <row r="13" spans="1:20" ht="30" customHeight="1" x14ac:dyDescent="0.2">
      <c r="A13" s="58" t="s">
        <v>182</v>
      </c>
      <c r="B13" s="59"/>
      <c r="D13" s="72"/>
      <c r="E13" s="72"/>
      <c r="F13" s="72"/>
      <c r="G13" s="72"/>
      <c r="H13" s="3"/>
      <c r="I13" s="3" t="s">
        <v>19</v>
      </c>
      <c r="J13" s="3"/>
      <c r="K13" s="3"/>
      <c r="L13" s="3"/>
      <c r="M13" s="3"/>
      <c r="N13" s="3"/>
      <c r="O13" s="72"/>
      <c r="P13" s="72"/>
      <c r="Q13" s="72"/>
      <c r="R13" s="72"/>
      <c r="S13" s="72"/>
      <c r="T13" s="72"/>
    </row>
    <row r="14" spans="1:20" ht="30" customHeight="1" x14ac:dyDescent="0.2">
      <c r="B14" s="55"/>
      <c r="D14" s="72"/>
      <c r="E14" s="72"/>
      <c r="F14" s="72"/>
      <c r="G14" s="72"/>
      <c r="H14" s="3"/>
      <c r="I14" s="3" t="s">
        <v>20</v>
      </c>
      <c r="J14" s="3"/>
      <c r="K14" s="3"/>
      <c r="L14" s="3"/>
      <c r="M14" s="3"/>
      <c r="N14" s="3"/>
      <c r="O14" s="72"/>
      <c r="P14" s="72"/>
      <c r="Q14" s="72"/>
      <c r="R14" s="72"/>
      <c r="S14" s="72"/>
      <c r="T14" s="72"/>
    </row>
    <row r="15" spans="1:20" ht="30" customHeight="1" x14ac:dyDescent="0.2">
      <c r="A15" s="61" t="s">
        <v>185</v>
      </c>
      <c r="B15" s="60" t="s">
        <v>209</v>
      </c>
      <c r="D15" s="72"/>
      <c r="E15" s="72"/>
      <c r="F15" s="72"/>
      <c r="G15" s="72"/>
      <c r="H15" s="3"/>
      <c r="I15" s="3" t="s">
        <v>21</v>
      </c>
      <c r="J15" s="3"/>
      <c r="K15" s="3"/>
      <c r="L15" s="3"/>
      <c r="M15" s="3"/>
      <c r="N15" s="3"/>
      <c r="O15" s="72"/>
      <c r="P15" s="72"/>
      <c r="Q15" s="72"/>
      <c r="R15" s="72"/>
      <c r="S15" s="72"/>
      <c r="T15" s="72"/>
    </row>
    <row r="16" spans="1:20" ht="30" customHeight="1" x14ac:dyDescent="0.2">
      <c r="A16" s="61"/>
      <c r="B16" s="60" t="s">
        <v>210</v>
      </c>
      <c r="D16" s="72"/>
      <c r="E16" s="72"/>
      <c r="F16" s="72"/>
      <c r="G16" s="72"/>
      <c r="H16" s="3"/>
      <c r="I16" s="3"/>
      <c r="J16" s="3"/>
      <c r="K16" s="3"/>
      <c r="L16" s="3"/>
      <c r="M16" s="3"/>
      <c r="N16" s="3"/>
      <c r="O16" s="72"/>
      <c r="P16" s="72"/>
      <c r="Q16" s="72"/>
      <c r="R16" s="72"/>
      <c r="S16" s="72"/>
      <c r="T16" s="72"/>
    </row>
    <row r="17" spans="1:20" ht="30" customHeight="1" x14ac:dyDescent="0.2">
      <c r="A17" s="61" t="s">
        <v>185</v>
      </c>
      <c r="B17" s="60" t="s">
        <v>211</v>
      </c>
      <c r="D17" s="72"/>
      <c r="E17" s="72"/>
      <c r="F17" s="72"/>
      <c r="G17" s="72"/>
      <c r="H17" s="3"/>
      <c r="I17" s="3" t="s">
        <v>22</v>
      </c>
      <c r="J17" s="3"/>
      <c r="K17" s="3"/>
      <c r="L17" s="3"/>
      <c r="M17" s="3"/>
      <c r="N17" s="3"/>
      <c r="O17" s="72"/>
      <c r="P17" s="72"/>
      <c r="Q17" s="72"/>
      <c r="R17" s="72"/>
      <c r="S17" s="72"/>
      <c r="T17" s="72"/>
    </row>
    <row r="18" spans="1:20" ht="65.5" customHeight="1" x14ac:dyDescent="0.2">
      <c r="A18" s="61" t="s">
        <v>185</v>
      </c>
      <c r="B18" s="60" t="s">
        <v>183</v>
      </c>
      <c r="D18" s="72"/>
      <c r="E18" s="72"/>
      <c r="F18" s="72"/>
      <c r="G18" s="72"/>
      <c r="H18" s="3"/>
      <c r="I18" s="3" t="s">
        <v>23</v>
      </c>
      <c r="J18" s="3"/>
      <c r="K18" s="3"/>
      <c r="L18" s="3"/>
      <c r="M18" s="3"/>
      <c r="N18" s="3"/>
      <c r="O18" s="72"/>
      <c r="P18" s="72"/>
      <c r="Q18" s="72"/>
      <c r="R18" s="72"/>
      <c r="S18" s="72"/>
      <c r="T18" s="72"/>
    </row>
    <row r="19" spans="1:20" ht="30" customHeight="1" x14ac:dyDescent="0.2">
      <c r="A19" s="61" t="s">
        <v>185</v>
      </c>
      <c r="B19" s="60" t="s">
        <v>184</v>
      </c>
      <c r="D19" s="72"/>
      <c r="E19" s="72"/>
      <c r="F19" s="72"/>
      <c r="G19" s="72"/>
      <c r="H19" s="3"/>
      <c r="I19" s="3" t="s">
        <v>24</v>
      </c>
      <c r="J19" s="3"/>
      <c r="K19" s="3"/>
      <c r="L19" s="3"/>
      <c r="M19" s="3"/>
      <c r="N19" s="3"/>
      <c r="O19" s="72"/>
      <c r="P19" s="72"/>
      <c r="Q19" s="72"/>
      <c r="R19" s="72"/>
      <c r="S19" s="72"/>
      <c r="T19" s="72"/>
    </row>
    <row r="20" spans="1:20" x14ac:dyDescent="0.2">
      <c r="D20" s="72"/>
      <c r="E20" s="72"/>
      <c r="F20" s="72"/>
      <c r="G20" s="72"/>
      <c r="H20" s="3"/>
      <c r="I20" s="3" t="s">
        <v>25</v>
      </c>
      <c r="J20" s="3"/>
      <c r="K20" s="3"/>
      <c r="L20" s="3"/>
      <c r="M20" s="3"/>
      <c r="N20" s="3"/>
      <c r="O20" s="72"/>
      <c r="P20" s="72"/>
      <c r="Q20" s="72"/>
      <c r="R20" s="72"/>
      <c r="S20" s="72"/>
      <c r="T20" s="72"/>
    </row>
    <row r="21" spans="1:20" ht="25" customHeight="1" x14ac:dyDescent="0.2">
      <c r="A21" s="62" t="s">
        <v>190</v>
      </c>
      <c r="B21" s="63"/>
      <c r="D21" s="72"/>
      <c r="E21" s="72"/>
      <c r="F21" s="72"/>
      <c r="G21" s="72"/>
      <c r="H21" s="3"/>
      <c r="I21" s="3" t="s">
        <v>26</v>
      </c>
      <c r="J21" s="3"/>
      <c r="K21" s="3"/>
      <c r="L21" s="3"/>
      <c r="M21" s="3"/>
      <c r="N21" s="3"/>
      <c r="O21" s="72"/>
      <c r="P21" s="72"/>
      <c r="Q21" s="72"/>
      <c r="R21" s="72"/>
      <c r="S21" s="72"/>
      <c r="T21" s="72"/>
    </row>
    <row r="22" spans="1:20" x14ac:dyDescent="0.2">
      <c r="D22" s="72"/>
      <c r="E22" s="72"/>
      <c r="F22" s="72"/>
      <c r="G22" s="72"/>
      <c r="H22" s="3"/>
      <c r="I22" s="3" t="s">
        <v>27</v>
      </c>
      <c r="J22" s="3"/>
      <c r="K22" s="3"/>
      <c r="L22" s="3"/>
      <c r="M22" s="3"/>
      <c r="N22" s="3"/>
      <c r="O22" s="72"/>
      <c r="P22" s="72"/>
      <c r="Q22" s="72"/>
      <c r="R22" s="72"/>
      <c r="S22" s="72"/>
      <c r="T22" s="72"/>
    </row>
    <row r="23" spans="1:20" x14ac:dyDescent="0.2">
      <c r="D23" s="72"/>
      <c r="E23" s="72"/>
      <c r="F23" s="72"/>
      <c r="G23" s="72"/>
      <c r="H23" s="3"/>
      <c r="I23" s="3" t="s">
        <v>28</v>
      </c>
      <c r="J23" s="3"/>
      <c r="K23" s="3"/>
      <c r="L23" s="3"/>
      <c r="M23" s="3"/>
      <c r="N23" s="3"/>
      <c r="O23" s="72"/>
      <c r="P23" s="72"/>
      <c r="Q23" s="72"/>
      <c r="R23" s="72"/>
      <c r="S23" s="72"/>
      <c r="T23" s="72"/>
    </row>
    <row r="24" spans="1:20" ht="25" customHeight="1" x14ac:dyDescent="0.2">
      <c r="A24" s="64"/>
      <c r="B24" s="65" t="s">
        <v>198</v>
      </c>
      <c r="D24" s="72"/>
      <c r="E24" s="72"/>
      <c r="F24" s="72"/>
      <c r="G24" s="72"/>
      <c r="H24" s="3"/>
      <c r="I24" s="3" t="s">
        <v>47</v>
      </c>
      <c r="J24" s="3"/>
      <c r="K24" s="3"/>
      <c r="L24" s="3"/>
      <c r="M24" s="3"/>
      <c r="N24" s="3"/>
      <c r="O24" s="72"/>
      <c r="P24" s="72"/>
      <c r="Q24" s="72"/>
      <c r="R24" s="72"/>
      <c r="S24" s="72"/>
      <c r="T24" s="72"/>
    </row>
    <row r="25" spans="1:20" ht="25" customHeight="1" x14ac:dyDescent="0.2">
      <c r="B25" s="66" t="s">
        <v>191</v>
      </c>
      <c r="D25" s="72"/>
      <c r="E25" s="72"/>
      <c r="F25" s="72"/>
      <c r="G25" s="72"/>
      <c r="H25" s="3"/>
      <c r="I25" s="3" t="s">
        <v>48</v>
      </c>
      <c r="J25" s="3"/>
      <c r="K25" s="3"/>
      <c r="L25" s="3"/>
      <c r="M25" s="3"/>
      <c r="N25" s="3"/>
      <c r="O25" s="72"/>
      <c r="P25" s="72"/>
      <c r="Q25" s="72"/>
      <c r="R25" s="72"/>
      <c r="S25" s="72"/>
      <c r="T25" s="72"/>
    </row>
    <row r="26" spans="1:20" x14ac:dyDescent="0.2">
      <c r="D26" s="72"/>
      <c r="E26" s="72"/>
      <c r="F26" s="72"/>
      <c r="G26" s="72"/>
      <c r="H26" s="3"/>
      <c r="I26" s="3" t="s">
        <v>49</v>
      </c>
      <c r="J26" s="3"/>
      <c r="K26" s="3"/>
      <c r="L26" s="3"/>
      <c r="M26" s="3"/>
      <c r="N26" s="3"/>
      <c r="O26" s="72"/>
      <c r="P26" s="72"/>
      <c r="Q26" s="72"/>
      <c r="R26" s="72"/>
      <c r="S26" s="72"/>
      <c r="T26" s="72"/>
    </row>
    <row r="27" spans="1:20" ht="25" customHeight="1" x14ac:dyDescent="0.2">
      <c r="B27" s="65" t="s">
        <v>192</v>
      </c>
      <c r="D27" s="72"/>
      <c r="E27" s="72"/>
      <c r="F27" s="72"/>
      <c r="G27" s="72"/>
      <c r="H27" s="3"/>
      <c r="I27" s="3" t="s">
        <v>50</v>
      </c>
      <c r="J27" s="3"/>
      <c r="K27" s="3"/>
      <c r="L27" s="3"/>
      <c r="M27" s="3"/>
      <c r="N27" s="3"/>
      <c r="O27" s="72"/>
      <c r="P27" s="72"/>
      <c r="Q27" s="72"/>
      <c r="R27" s="72"/>
      <c r="S27" s="72"/>
      <c r="T27" s="72"/>
    </row>
    <row r="28" spans="1:20" ht="25" customHeight="1" x14ac:dyDescent="0.2">
      <c r="B28" s="66" t="s">
        <v>62</v>
      </c>
      <c r="D28" s="72"/>
      <c r="E28" s="72"/>
      <c r="F28" s="72"/>
      <c r="G28" s="72"/>
      <c r="H28" s="3"/>
      <c r="I28" s="3" t="s">
        <v>43</v>
      </c>
      <c r="J28" s="3"/>
      <c r="K28" s="3"/>
      <c r="L28" s="3"/>
      <c r="M28" s="3"/>
      <c r="N28" s="3"/>
      <c r="O28" s="72"/>
      <c r="P28" s="72"/>
      <c r="Q28" s="72"/>
      <c r="R28" s="72"/>
      <c r="S28" s="72"/>
      <c r="T28" s="72"/>
    </row>
    <row r="29" spans="1:20" x14ac:dyDescent="0.2">
      <c r="D29" s="72"/>
      <c r="E29" s="72"/>
      <c r="F29" s="72"/>
      <c r="G29" s="72"/>
      <c r="H29" s="3"/>
      <c r="I29" s="3" t="s">
        <v>44</v>
      </c>
      <c r="J29" s="3"/>
      <c r="K29" s="3"/>
      <c r="L29" s="3"/>
      <c r="M29" s="3"/>
      <c r="N29" s="3"/>
      <c r="O29" s="72"/>
      <c r="P29" s="72"/>
      <c r="Q29" s="72"/>
      <c r="R29" s="72"/>
      <c r="S29" s="72"/>
      <c r="T29" s="72"/>
    </row>
    <row r="30" spans="1:20" x14ac:dyDescent="0.2">
      <c r="D30" s="72"/>
      <c r="E30" s="72"/>
      <c r="F30" s="72"/>
      <c r="G30" s="72"/>
      <c r="H30" s="3"/>
      <c r="I30" s="3"/>
      <c r="J30" s="3"/>
      <c r="K30" s="3"/>
      <c r="L30" s="3"/>
      <c r="M30" s="3"/>
      <c r="N30" s="3"/>
      <c r="O30" s="72"/>
      <c r="P30" s="72"/>
      <c r="Q30" s="72"/>
      <c r="R30" s="72"/>
      <c r="S30" s="72"/>
      <c r="T30" s="72"/>
    </row>
    <row r="31" spans="1:20" x14ac:dyDescent="0.2">
      <c r="D31" s="72"/>
      <c r="E31" s="72"/>
      <c r="F31" s="72"/>
      <c r="G31" s="72"/>
      <c r="H31" s="3"/>
      <c r="I31" s="3"/>
      <c r="J31" s="3"/>
      <c r="K31" s="3"/>
      <c r="L31" s="3"/>
      <c r="M31" s="3"/>
      <c r="N31" s="3"/>
      <c r="O31" s="72"/>
      <c r="P31" s="72"/>
      <c r="Q31" s="72"/>
      <c r="R31" s="72"/>
      <c r="S31" s="72"/>
      <c r="T31" s="72"/>
    </row>
    <row r="32" spans="1:20" x14ac:dyDescent="0.2">
      <c r="D32" s="72"/>
      <c r="E32" s="72"/>
      <c r="F32" s="72"/>
      <c r="G32" s="72"/>
      <c r="H32" s="3"/>
      <c r="I32" s="3"/>
      <c r="J32" s="3"/>
      <c r="K32" s="3"/>
      <c r="L32" s="3"/>
      <c r="M32" s="3"/>
      <c r="N32" s="3"/>
      <c r="O32" s="72"/>
      <c r="P32" s="72"/>
      <c r="Q32" s="72"/>
      <c r="R32" s="72"/>
      <c r="S32" s="72"/>
      <c r="T32" s="72"/>
    </row>
    <row r="33" spans="4:20" x14ac:dyDescent="0.2">
      <c r="D33" s="72"/>
      <c r="E33" s="72"/>
      <c r="F33" s="72"/>
      <c r="G33" s="72"/>
      <c r="H33" s="3"/>
      <c r="I33" s="3"/>
      <c r="J33" s="3"/>
      <c r="K33" s="3"/>
      <c r="L33" s="3"/>
      <c r="M33" s="3"/>
      <c r="N33" s="3"/>
      <c r="O33" s="72"/>
      <c r="P33" s="72"/>
      <c r="Q33" s="72"/>
      <c r="R33" s="72"/>
      <c r="S33" s="72"/>
      <c r="T33" s="72"/>
    </row>
    <row r="34" spans="4:20" x14ac:dyDescent="0.2">
      <c r="D34" s="72"/>
      <c r="E34" s="72"/>
      <c r="F34" s="72"/>
      <c r="G34" s="72"/>
      <c r="H34" s="3"/>
      <c r="I34" s="3"/>
      <c r="J34" s="3"/>
      <c r="K34" s="3"/>
      <c r="L34" s="3"/>
      <c r="M34" s="3"/>
      <c r="N34" s="3"/>
      <c r="O34" s="72"/>
      <c r="P34" s="72"/>
      <c r="Q34" s="72"/>
      <c r="R34" s="72"/>
      <c r="S34" s="72"/>
      <c r="T34" s="72"/>
    </row>
    <row r="35" spans="4:20" x14ac:dyDescent="0.2">
      <c r="D35" s="72"/>
      <c r="E35" s="72"/>
      <c r="F35" s="72"/>
      <c r="G35" s="72"/>
      <c r="H35" s="3"/>
      <c r="I35" s="3"/>
      <c r="J35" s="3"/>
      <c r="K35" s="3"/>
      <c r="L35" s="3"/>
      <c r="M35" s="3"/>
      <c r="N35" s="3"/>
      <c r="O35" s="72"/>
      <c r="P35" s="72"/>
      <c r="Q35" s="72"/>
      <c r="R35" s="72"/>
      <c r="S35" s="72"/>
      <c r="T35" s="72"/>
    </row>
    <row r="36" spans="4:20" x14ac:dyDescent="0.2">
      <c r="D36" s="72"/>
      <c r="E36" s="72"/>
      <c r="F36" s="72"/>
      <c r="G36" s="72"/>
      <c r="H36" s="3"/>
      <c r="I36" s="3"/>
      <c r="J36" s="3"/>
      <c r="K36" s="3"/>
      <c r="L36" s="3"/>
      <c r="M36" s="3"/>
      <c r="N36" s="3"/>
      <c r="O36" s="72"/>
      <c r="P36" s="72"/>
      <c r="Q36" s="72"/>
      <c r="R36" s="72"/>
      <c r="S36" s="72"/>
      <c r="T36" s="72"/>
    </row>
    <row r="37" spans="4:20" x14ac:dyDescent="0.2">
      <c r="D37" s="72"/>
      <c r="E37" s="72"/>
      <c r="F37" s="72"/>
      <c r="G37" s="72"/>
      <c r="H37" s="3"/>
      <c r="I37" s="3"/>
      <c r="J37" s="3"/>
      <c r="K37" s="3"/>
      <c r="L37" s="3"/>
      <c r="M37" s="3"/>
      <c r="N37" s="3"/>
      <c r="O37" s="72"/>
      <c r="P37" s="72"/>
      <c r="Q37" s="72"/>
      <c r="R37" s="72"/>
      <c r="S37" s="72"/>
      <c r="T37" s="72"/>
    </row>
    <row r="38" spans="4:20" x14ac:dyDescent="0.2">
      <c r="D38" s="72"/>
      <c r="E38" s="72"/>
      <c r="F38" s="72"/>
      <c r="G38" s="72"/>
      <c r="H38" s="3"/>
      <c r="I38" s="3"/>
      <c r="J38" s="3"/>
      <c r="K38" s="3"/>
      <c r="L38" s="3"/>
      <c r="M38" s="3"/>
      <c r="N38" s="3"/>
      <c r="O38" s="72"/>
      <c r="P38" s="72"/>
      <c r="Q38" s="72"/>
      <c r="R38" s="72"/>
      <c r="S38" s="72"/>
      <c r="T38" s="72"/>
    </row>
    <row r="39" spans="4:20" x14ac:dyDescent="0.2">
      <c r="D39" s="72"/>
      <c r="E39" s="72"/>
      <c r="F39" s="72"/>
      <c r="G39" s="72"/>
      <c r="H39" s="3"/>
      <c r="I39" s="3"/>
      <c r="J39" s="3"/>
      <c r="K39" s="3"/>
      <c r="L39" s="3"/>
      <c r="M39" s="3"/>
      <c r="N39" s="3"/>
      <c r="O39" s="72"/>
      <c r="P39" s="72"/>
      <c r="Q39" s="72"/>
      <c r="R39" s="72"/>
      <c r="S39" s="72"/>
      <c r="T39" s="72"/>
    </row>
    <row r="40" spans="4:20" x14ac:dyDescent="0.2">
      <c r="D40" s="72"/>
      <c r="E40" s="72"/>
      <c r="F40" s="72"/>
      <c r="G40" s="72"/>
      <c r="H40" s="3"/>
      <c r="I40" s="3"/>
      <c r="J40" s="3"/>
      <c r="K40" s="3"/>
      <c r="L40" s="3"/>
      <c r="M40" s="3"/>
      <c r="N40" s="3"/>
      <c r="O40" s="72"/>
      <c r="P40" s="72"/>
      <c r="Q40" s="72"/>
      <c r="R40" s="72"/>
      <c r="S40" s="72"/>
      <c r="T40" s="72"/>
    </row>
    <row r="41" spans="4:20" x14ac:dyDescent="0.2">
      <c r="D41" s="72"/>
      <c r="E41" s="72"/>
      <c r="F41" s="72"/>
      <c r="G41" s="72"/>
      <c r="H41" s="3"/>
      <c r="I41" s="3"/>
      <c r="J41" s="3"/>
      <c r="K41" s="3"/>
      <c r="L41" s="3"/>
      <c r="M41" s="3"/>
      <c r="N41" s="3"/>
      <c r="O41" s="72"/>
      <c r="P41" s="72"/>
      <c r="Q41" s="72"/>
      <c r="R41" s="72"/>
      <c r="S41" s="72"/>
      <c r="T41" s="72"/>
    </row>
    <row r="42" spans="4:20" x14ac:dyDescent="0.2">
      <c r="D42" s="72"/>
      <c r="E42" s="72"/>
      <c r="F42" s="72"/>
      <c r="G42" s="72"/>
      <c r="H42" s="3"/>
      <c r="I42" s="3"/>
      <c r="J42" s="3"/>
      <c r="K42" s="3"/>
      <c r="L42" s="3"/>
      <c r="M42" s="3"/>
      <c r="N42" s="3"/>
      <c r="O42" s="72"/>
      <c r="P42" s="72"/>
      <c r="Q42" s="72"/>
      <c r="R42" s="72"/>
      <c r="S42" s="72"/>
      <c r="T42" s="72"/>
    </row>
    <row r="43" spans="4:20" x14ac:dyDescent="0.2">
      <c r="D43" s="72"/>
      <c r="E43" s="72"/>
      <c r="F43" s="72"/>
      <c r="G43" s="72"/>
      <c r="H43" s="3"/>
      <c r="I43" s="3"/>
      <c r="J43" s="3"/>
      <c r="K43" s="3"/>
      <c r="L43" s="3"/>
      <c r="M43" s="3"/>
      <c r="N43" s="3"/>
      <c r="O43" s="72"/>
      <c r="P43" s="72"/>
      <c r="Q43" s="72"/>
      <c r="R43" s="72"/>
      <c r="S43" s="72"/>
      <c r="T43" s="72"/>
    </row>
    <row r="44" spans="4:20" x14ac:dyDescent="0.2">
      <c r="D44" s="72"/>
      <c r="E44" s="72"/>
      <c r="F44" s="72"/>
      <c r="G44" s="72"/>
      <c r="H44" s="3"/>
      <c r="I44" s="3"/>
      <c r="J44" s="3"/>
      <c r="K44" s="3"/>
      <c r="L44" s="3"/>
      <c r="M44" s="3"/>
      <c r="N44" s="3"/>
      <c r="O44" s="72"/>
      <c r="P44" s="72"/>
      <c r="Q44" s="72"/>
      <c r="R44" s="72"/>
      <c r="S44" s="72"/>
      <c r="T44" s="72"/>
    </row>
    <row r="45" spans="4:20" x14ac:dyDescent="0.2">
      <c r="D45" s="72"/>
      <c r="E45" s="72"/>
      <c r="F45" s="72"/>
      <c r="G45" s="72"/>
      <c r="H45" s="3"/>
      <c r="I45" s="3"/>
      <c r="J45" s="3"/>
      <c r="K45" s="3"/>
      <c r="L45" s="3"/>
      <c r="M45" s="3"/>
      <c r="N45" s="3"/>
      <c r="O45" s="72"/>
      <c r="P45" s="72"/>
      <c r="Q45" s="72"/>
      <c r="R45" s="72"/>
      <c r="S45" s="72"/>
      <c r="T45" s="72"/>
    </row>
    <row r="46" spans="4:20" x14ac:dyDescent="0.2">
      <c r="D46" s="72"/>
      <c r="E46" s="72"/>
      <c r="F46" s="72"/>
      <c r="G46" s="72"/>
      <c r="H46" s="3"/>
      <c r="I46" s="3"/>
      <c r="J46" s="3"/>
      <c r="K46" s="3"/>
      <c r="L46" s="3"/>
      <c r="M46" s="3"/>
      <c r="N46" s="3"/>
      <c r="O46" s="72"/>
      <c r="P46" s="72"/>
      <c r="Q46" s="72"/>
      <c r="R46" s="72"/>
      <c r="S46" s="72"/>
      <c r="T46" s="72"/>
    </row>
    <row r="47" spans="4:20" x14ac:dyDescent="0.2">
      <c r="D47" s="72"/>
      <c r="E47" s="72"/>
      <c r="F47" s="72"/>
      <c r="G47" s="72"/>
      <c r="H47" s="3"/>
      <c r="I47" s="3"/>
      <c r="J47" s="3"/>
      <c r="K47" s="3"/>
      <c r="L47" s="3"/>
      <c r="M47" s="3"/>
      <c r="N47" s="3"/>
      <c r="O47" s="72"/>
      <c r="P47" s="72"/>
      <c r="Q47" s="72"/>
      <c r="R47" s="72"/>
      <c r="S47" s="72"/>
      <c r="T47" s="72"/>
    </row>
    <row r="48" spans="4:20" x14ac:dyDescent="0.2">
      <c r="D48" s="72"/>
      <c r="E48" s="72"/>
      <c r="F48" s="72"/>
      <c r="G48" s="72"/>
      <c r="H48" s="3"/>
      <c r="I48" s="3"/>
      <c r="J48" s="3"/>
      <c r="K48" s="3"/>
      <c r="L48" s="3"/>
      <c r="M48" s="3"/>
      <c r="N48" s="3"/>
      <c r="O48" s="72"/>
      <c r="P48" s="72"/>
      <c r="Q48" s="72"/>
      <c r="R48" s="72"/>
      <c r="S48" s="72"/>
      <c r="T48" s="72"/>
    </row>
    <row r="49" spans="4:20" x14ac:dyDescent="0.2">
      <c r="D49" s="72"/>
      <c r="E49" s="72"/>
      <c r="F49" s="72"/>
      <c r="G49" s="72"/>
      <c r="H49" s="3"/>
      <c r="I49" s="3"/>
      <c r="J49" s="3"/>
      <c r="K49" s="3"/>
      <c r="L49" s="3"/>
      <c r="M49" s="3"/>
      <c r="N49" s="3"/>
      <c r="O49" s="72"/>
      <c r="P49" s="72"/>
      <c r="Q49" s="72"/>
      <c r="R49" s="72"/>
      <c r="S49" s="72"/>
      <c r="T49" s="72"/>
    </row>
    <row r="50" spans="4:20" x14ac:dyDescent="0.2">
      <c r="D50" s="72"/>
      <c r="E50" s="72"/>
      <c r="F50" s="72"/>
      <c r="G50" s="72"/>
      <c r="H50" s="3"/>
      <c r="I50" s="3"/>
      <c r="J50" s="3"/>
      <c r="K50" s="3"/>
      <c r="L50" s="3"/>
      <c r="M50" s="3"/>
      <c r="N50" s="3"/>
      <c r="O50" s="72"/>
      <c r="P50" s="72"/>
      <c r="Q50" s="72"/>
      <c r="R50" s="72"/>
      <c r="S50" s="72"/>
      <c r="T50" s="72"/>
    </row>
    <row r="51" spans="4:20" x14ac:dyDescent="0.2">
      <c r="D51" s="72"/>
      <c r="E51" s="72"/>
      <c r="F51" s="72"/>
      <c r="G51" s="72"/>
      <c r="H51" s="72"/>
      <c r="I51" s="72"/>
      <c r="J51" s="72"/>
      <c r="K51" s="72"/>
      <c r="L51" s="72"/>
      <c r="M51" s="72"/>
      <c r="N51" s="72"/>
      <c r="O51" s="72"/>
      <c r="P51" s="72"/>
      <c r="Q51" s="72"/>
      <c r="R51" s="72"/>
      <c r="S51" s="72"/>
      <c r="T51" s="72"/>
    </row>
    <row r="52" spans="4:20" x14ac:dyDescent="0.2">
      <c r="D52" s="72"/>
      <c r="E52" s="72"/>
      <c r="F52" s="72"/>
      <c r="G52" s="72"/>
      <c r="H52" s="72"/>
      <c r="I52" s="72"/>
      <c r="J52" s="72"/>
      <c r="K52" s="72"/>
      <c r="L52" s="72"/>
      <c r="M52" s="72"/>
      <c r="N52" s="72"/>
      <c r="O52" s="72"/>
      <c r="P52" s="72"/>
      <c r="Q52" s="72"/>
      <c r="R52" s="72"/>
      <c r="S52" s="72"/>
      <c r="T52" s="72"/>
    </row>
    <row r="53" spans="4:20" x14ac:dyDescent="0.2">
      <c r="D53" s="72"/>
      <c r="E53" s="72"/>
      <c r="F53" s="72"/>
      <c r="G53" s="72"/>
      <c r="H53" s="72"/>
      <c r="I53" s="72"/>
      <c r="J53" s="72"/>
      <c r="K53" s="72"/>
      <c r="L53" s="72"/>
      <c r="M53" s="72"/>
      <c r="N53" s="72"/>
      <c r="O53" s="72"/>
      <c r="P53" s="72"/>
      <c r="Q53" s="72"/>
      <c r="R53" s="72"/>
      <c r="S53" s="72"/>
      <c r="T53" s="72"/>
    </row>
    <row r="54" spans="4:20" x14ac:dyDescent="0.2">
      <c r="D54" s="72"/>
      <c r="E54" s="72"/>
      <c r="F54" s="72"/>
      <c r="G54" s="72"/>
      <c r="H54" s="72"/>
      <c r="I54" s="72"/>
      <c r="J54" s="72"/>
      <c r="K54" s="72"/>
      <c r="L54" s="72"/>
      <c r="M54" s="72"/>
      <c r="N54" s="72"/>
      <c r="O54" s="72"/>
      <c r="P54" s="72"/>
      <c r="Q54" s="72"/>
      <c r="R54" s="72"/>
      <c r="S54" s="72"/>
      <c r="T54" s="72"/>
    </row>
    <row r="55" spans="4:20" x14ac:dyDescent="0.2">
      <c r="D55" s="72"/>
      <c r="E55" s="72"/>
      <c r="F55" s="72"/>
      <c r="G55" s="72"/>
      <c r="H55" s="72"/>
      <c r="I55" s="72"/>
      <c r="J55" s="72"/>
      <c r="K55" s="72"/>
      <c r="L55" s="72"/>
      <c r="M55" s="72"/>
      <c r="N55" s="72"/>
      <c r="O55" s="72"/>
      <c r="P55" s="72"/>
      <c r="Q55" s="72"/>
      <c r="R55" s="72"/>
      <c r="S55" s="72"/>
      <c r="T55" s="72"/>
    </row>
  </sheetData>
  <mergeCells count="1">
    <mergeCell ref="A2:B2"/>
  </mergeCells>
  <hyperlinks>
    <hyperlink ref="B28" r:id="rId1" xr:uid="{D2187F36-9592-4ED3-BB3F-DD0316E0A08B}"/>
    <hyperlink ref="B25" r:id="rId2" xr:uid="{467D8388-0F23-4742-91CB-03D327FAF5B1}"/>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Microsoft Office User</cp:lastModifiedBy>
  <dcterms:created xsi:type="dcterms:W3CDTF">2021-02-26T11:30:40Z</dcterms:created>
  <dcterms:modified xsi:type="dcterms:W3CDTF">2022-03-04T23:28:06Z</dcterms:modified>
</cp:coreProperties>
</file>